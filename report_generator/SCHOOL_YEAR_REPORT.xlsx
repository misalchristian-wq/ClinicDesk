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 tabRatio="1000"/>
  </bookViews>
  <sheets>
    <sheet name="Part IX. School Health" sheetId="3" r:id="rId1"/>
    <sheet name="IX. Box 1" sheetId="4" r:id="rId2"/>
    <sheet name="IX. Box 1 Def" sheetId="5" r:id="rId3"/>
    <sheet name="IX. Table 1.A &amp; 1.B" sheetId="6" r:id="rId4"/>
    <sheet name="IX. Table 1.C &amp; 1.D" sheetId="7" r:id="rId5"/>
    <sheet name="IX. Boxes 2 &amp; 3; Table 2" sheetId="8" r:id="rId6"/>
    <sheet name="IX. Box 4" sheetId="9" r:id="rId7"/>
    <sheet name="IX. Boxes 5 &amp; 6" sheetId="10" r:id="rId8"/>
    <sheet name="IX. Boxes 7 to 9" sheetId="11" r:id="rId9"/>
    <sheet name="IX. Boxes 10 &amp; 11" sheetId="12" r:id="rId10"/>
  </sheets>
  <externalReferences>
    <externalReference r:id="rId12"/>
  </externalReferences>
  <definedNames>
    <definedName name="action_research_prev_sy_es">'[1]IV. Tables 19 to 21'!$Q$56</definedName>
    <definedName name="areaspec_bachelormaj_math_under40">'[1]II. Table 1'!$AW$14</definedName>
    <definedName name="areaspec_gradmaj_eng_over40">'[1]II. Table 1'!$S$13</definedName>
    <definedName name="lhas_cars_facility_es">#REF!</definedName>
    <definedName name="lhas_cars_facility_jhs">#REF!</definedName>
    <definedName name="lhas_cars_facility_shs">#REF!</definedName>
    <definedName name="lhas_cars_learners_assessed_es">#REF!</definedName>
    <definedName name="lhas_cars_learners_assessed_jhs">#REF!</definedName>
    <definedName name="lhas_cars_learners_assessed_shs">#REF!</definedName>
    <definedName name="lhas_cars_learners_masterlist_es">#REF!</definedName>
    <definedName name="lhas_cars_learners_masterlist_jhs">#REF!</definedName>
    <definedName name="lhas_cars_learners_masterlist_shs">#REF!</definedName>
    <definedName name="lhas_cars_learners_screening_es">#REF!</definedName>
    <definedName name="lhas_cars_learners_screening_jhs">#REF!</definedName>
    <definedName name="lhas_cars_learners_screening_shs">#REF!</definedName>
    <definedName name="lhas_cars_lgudoh_es">#REF!</definedName>
    <definedName name="lhas_cars_lgudoh_jhs">#REF!</definedName>
    <definedName name="lhas_cars_lgudoh_shs">#REF!</definedName>
    <definedName name="lhas_cars_others_es">#REF!</definedName>
    <definedName name="lhas_cars_others_jhs">#REF!</definedName>
    <definedName name="lhas_cars_others_shs">#REF!</definedName>
    <definedName name="lhas_cars_private_es">#REF!</definedName>
    <definedName name="lhas_cars_private_jhs">#REF!</definedName>
    <definedName name="lhas_cars_private_shs">#REF!</definedName>
    <definedName name="lhas_heeadsss_facility_es">#REF!</definedName>
    <definedName name="lhas_heeadsss_facility_jhs">#REF!</definedName>
    <definedName name="lhas_heeadsss_facility_shs">#REF!</definedName>
    <definedName name="lhas_heeadsss_learners_assessed_es">#REF!</definedName>
    <definedName name="lhas_heeadsss_learners_assessed_jhs">#REF!</definedName>
    <definedName name="lhas_heeadsss_learners_assessed_shs">#REF!</definedName>
    <definedName name="lhas_heeadsss_learners_masterlist_es">#REF!</definedName>
    <definedName name="lhas_heeadsss_learners_masterlist_jhs">#REF!</definedName>
    <definedName name="lhas_heeadsss_learners_masterlist_shs">#REF!</definedName>
    <definedName name="lhas_heeadsss_learners_screening_es">#REF!</definedName>
    <definedName name="lhas_heeadsss_learners_screening_jhs">#REF!</definedName>
    <definedName name="lhas_heeadsss_learners_screening_shs">#REF!</definedName>
    <definedName name="lhas_heeadsss_lgudoh_es">#REF!</definedName>
    <definedName name="lhas_heeadsss_lgudoh_jhs">#REF!</definedName>
    <definedName name="lhas_heeadsss_lgudoh_shs">#REF!</definedName>
    <definedName name="lhas_heeadsss_others_es">#REF!</definedName>
    <definedName name="lhas_heeadsss_others_jhs">#REF!</definedName>
    <definedName name="lhas_heeadsss_others_shs">#REF!</definedName>
    <definedName name="lhas_heeadsss_private_es">#REF!</definedName>
    <definedName name="lhas_heeadsss_private_jhs">#REF!</definedName>
    <definedName name="lhas_heeadsss_private_shs">#REF!</definedName>
    <definedName name="lhas_hhighta_facility_es">#REF!</definedName>
    <definedName name="lhas_hhighta_facility_jhs">#REF!</definedName>
    <definedName name="lhas_hhighta_facility_shs">#REF!</definedName>
    <definedName name="lhas_hhighta_learners_assessed_es">#REF!</definedName>
    <definedName name="lhas_hhighta_learners_assessed_jhs">#REF!</definedName>
    <definedName name="lhas_hhighta_learners_assessed_shs">#REF!</definedName>
    <definedName name="lhas_hhighta_learners_masterlist_es">#REF!</definedName>
    <definedName name="lhas_hhighta_learners_masterlist_jhs">#REF!</definedName>
    <definedName name="lhas_hhighta_learners_masterlist_shs">#REF!</definedName>
    <definedName name="lhas_hhighta_learners_screening_es">#REF!</definedName>
    <definedName name="lhas_hhighta_learners_screening_jhs">#REF!</definedName>
    <definedName name="lhas_hhighta_learners_screening_shs">#REF!</definedName>
    <definedName name="lhas_hhighta_lgudoh_es">#REF!</definedName>
    <definedName name="lhas_hhighta_lgudoh_jhs">#REF!</definedName>
    <definedName name="lhas_hhighta_lgudoh_shs">#REF!</definedName>
    <definedName name="lhas_hhighta_others_es">#REF!</definedName>
    <definedName name="lhas_hhighta_others_jhs">#REF!</definedName>
    <definedName name="lhas_hhighta_others_shs">#REF!</definedName>
    <definedName name="lhas_hhighta_private_es">#REF!</definedName>
    <definedName name="lhas_hhighta_private_jhs">#REF!</definedName>
    <definedName name="lhas_hhighta_private_shs">#REF!</definedName>
    <definedName name="lhas_hs_facility_es">#REF!</definedName>
    <definedName name="lhas_hs_facility_jhs">#REF!</definedName>
    <definedName name="lhas_hs_facility_shs">#REF!</definedName>
    <definedName name="lhas_hs_learners_assessed_es">#REF!</definedName>
    <definedName name="lhas_hs_learners_assessed_jhs">#REF!</definedName>
    <definedName name="lhas_hs_learners_assessed_shs">#REF!</definedName>
    <definedName name="lhas_hs_learners_masterlist_es">#REF!</definedName>
    <definedName name="lhas_hs_learners_masterlist_jhs">#REF!</definedName>
    <definedName name="lhas_hs_learners_masterlist_shs">#REF!</definedName>
    <definedName name="lhas_hs_learners_screening_es">#REF!</definedName>
    <definedName name="lhas_hs_learners_screening_jhs">#REF!</definedName>
    <definedName name="lhas_hs_learners_screening_shs">#REF!</definedName>
    <definedName name="lhas_hs_lgudoh_es">#REF!</definedName>
    <definedName name="lhas_hs_lgudoh_jhs">#REF!</definedName>
    <definedName name="lhas_hs_lgudoh_shs">#REF!</definedName>
    <definedName name="lhas_hs_others_es">#REF!</definedName>
    <definedName name="lhas_hs_others_jhs">#REF!</definedName>
    <definedName name="lhas_hs_others_shs">#REF!</definedName>
    <definedName name="lhas_hs_private_es">#REF!</definedName>
    <definedName name="lhas_hs_private_jhs">#REF!</definedName>
    <definedName name="lhas_hs_private_shs">#REF!</definedName>
    <definedName name="lhas_na_facility_es">#REF!</definedName>
    <definedName name="lhas_na_facility_jhs">#REF!</definedName>
    <definedName name="lhas_na_facility_shs">#REF!</definedName>
    <definedName name="lhas_na_learners_assessed_es">#REF!</definedName>
    <definedName name="lhas_na_learners_assessed_jhs">#REF!</definedName>
    <definedName name="lhas_na_learners_assessed_shs">#REF!</definedName>
    <definedName name="lhas_na_learners_masterlist_es">#REF!</definedName>
    <definedName name="lhas_na_learners_masterlist_jhs">#REF!</definedName>
    <definedName name="lhas_na_learners_masterlist_shs">#REF!</definedName>
    <definedName name="lhas_na_learners_screening_es">#REF!</definedName>
    <definedName name="lhas_na_learners_screening_jhs">#REF!</definedName>
    <definedName name="lhas_na_learners_screening_shs">#REF!</definedName>
    <definedName name="lhas_na_lgudoh_es">#REF!</definedName>
    <definedName name="lhas_na_lgudoh_jhs">#REF!</definedName>
    <definedName name="lhas_na_lgudoh_shs">#REF!</definedName>
    <definedName name="lhas_na_others_es">#REF!</definedName>
    <definedName name="lhas_na_others_jhs">#REF!</definedName>
    <definedName name="lhas_na_others_shs">#REF!</definedName>
    <definedName name="lhas_na_private_es">#REF!</definedName>
    <definedName name="lhas_na_private_jhs">#REF!</definedName>
    <definedName name="lhas_na_private_shs">#REF!</definedName>
    <definedName name="lhas_oha_facility_es">#REF!</definedName>
    <definedName name="lhas_oha_facility_jhs">#REF!</definedName>
    <definedName name="lhas_oha_facility_shs">#REF!</definedName>
    <definedName name="lhas_oha_learners_assessed_es">#REF!</definedName>
    <definedName name="lhas_oha_learners_assessed_jhs">#REF!</definedName>
    <definedName name="lhas_oha_learners_assessed_shs">#REF!</definedName>
    <definedName name="lhas_oha_learners_masterlist_es">#REF!</definedName>
    <definedName name="lhas_oha_learners_masterlist_jhs">#REF!</definedName>
    <definedName name="lhas_oha_learners_masterlist_shs">#REF!</definedName>
    <definedName name="lhas_oha_learners_screening_es">#REF!</definedName>
    <definedName name="lhas_oha_learners_screening_jhs">#REF!</definedName>
    <definedName name="lhas_oha_learners_screening_shs">#REF!</definedName>
    <definedName name="lhas_oha_lgudoh_es">#REF!</definedName>
    <definedName name="lhas_oha_lgudoh_jhs">#REF!</definedName>
    <definedName name="lhas_oha_lgudoh_shs">#REF!</definedName>
    <definedName name="lhas_oha_others_es">#REF!</definedName>
    <definedName name="lhas_oha_others_jhs">#REF!</definedName>
    <definedName name="lhas_oha_others_shs">#REF!</definedName>
    <definedName name="lhas_oha_private_es">#REF!</definedName>
    <definedName name="lhas_oha_private_jhs">#REF!</definedName>
    <definedName name="lhas_oha_private_shs">#REF!</definedName>
    <definedName name="lhas_vs_facility_es">#REF!</definedName>
    <definedName name="lhas_vs_facility_jhs">#REF!</definedName>
    <definedName name="lhas_vs_facility_shs">#REF!</definedName>
    <definedName name="lhas_vs_learners_assessed_es">#REF!</definedName>
    <definedName name="lhas_vs_learners_assessed_jhs">#REF!</definedName>
    <definedName name="lhas_vs_learners_assessed_shs">#REF!</definedName>
    <definedName name="lhas_vs_learners_masterlist_es">#REF!</definedName>
    <definedName name="lhas_vs_learners_masterlist_jhs">#REF!</definedName>
    <definedName name="lhas_vs_learners_masterlist_shs">#REF!</definedName>
    <definedName name="lhas_vs_learners_screening_es">#REF!</definedName>
    <definedName name="lhas_vs_learners_screening_jhs">#REF!</definedName>
    <definedName name="lhas_vs_learners_screening_shs">#REF!</definedName>
    <definedName name="lhas_vs_lgudoh_es">#REF!</definedName>
    <definedName name="lhas_vs_lgudoh_jhs">#REF!</definedName>
    <definedName name="lhas_vs_lgudoh_shs">#REF!</definedName>
    <definedName name="lhas_vs_others_es">#REF!</definedName>
    <definedName name="lhas_vs_others_jhs">#REF!</definedName>
    <definedName name="lhas_vs_others_shs">#REF!</definedName>
    <definedName name="lhas_vs_private_es">#REF!</definedName>
    <definedName name="lhas_vs_private_jhs">#REF!</definedName>
    <definedName name="lhas_vs_private_shs">#REF!</definedName>
    <definedName name="_Fill" localSheetId="0" hidden="1">#REF!</definedName>
    <definedName name="_Fill" hidden="1">#REF!</definedName>
    <definedName name="action_research_prev_sy_jhs">'[1]IV. Tables 19 to 21'!$Y$56</definedName>
    <definedName name="action_research_prev_sy_shs">'[1]IV. Tables 19 to 21'!$AG$56</definedName>
    <definedName name="alive_cos_let_passer_f">'[1]IV. Tables 22 &amp; 23'!$R$42</definedName>
    <definedName name="alive_cos_let_passer_m">'[1]IV. Tables 22 &amp; 23'!$M$42</definedName>
    <definedName name="alive_cos_not_let_passer_f">'[1]IV. Tables 22 &amp; 23'!$R$43</definedName>
    <definedName name="alive_cos_not_let_passer_m">'[1]IV. Tables 22 &amp; 23'!$M$43</definedName>
    <definedName name="alive_plantilla_f">'[1]IV. Tables 22 &amp; 23'!$R$40</definedName>
    <definedName name="alive_plantilla_m">'[1]IV. Tables 22 &amp; 23'!$M$40</definedName>
    <definedName name="areaspec_bachelormaj_ap_over40">'[1]II. Table 1'!$X$17</definedName>
    <definedName name="areaspec_bachelormaj_ap_under40">'[1]II. Table 1'!$AW$17</definedName>
    <definedName name="areaspec_bachelormaj_eng_over40">'[1]II. Table 1'!$X$13</definedName>
    <definedName name="areaspec_bachelormaj_eng_under40">'[1]II. Table 1'!$AW$13</definedName>
    <definedName name="areaspec_bachelormaj_esp_over40">'[1]II. Table 1'!$X$18</definedName>
    <definedName name="areaspec_bachelormaj_esp_under40">'[1]II. Table 1'!$AW$18</definedName>
    <definedName name="areaspec_bachelormaj_fil_over40">'[1]II. Table 1'!$X$15</definedName>
    <definedName name="areaspec_bachelormaj_fil_under40">'[1]II. Table 1'!$AW$15</definedName>
    <definedName name="areaspec_bachelormaj_mapeh_over40">'[1]II. Table 1'!$X$20</definedName>
    <definedName name="areaspec_bachelormaj_mapeh_under40">'[1]II. Table 1'!$AW$20</definedName>
    <definedName name="areaspec_bachelormaj_math_over40">'[1]II. Table 1'!$X$14</definedName>
    <definedName name="areaspec_bachelormaj_sci_over40">'[1]II. Table 1'!$X$16</definedName>
    <definedName name="areaspec_bachelormaj_sci_under40">'[1]II. Table 1'!$AW$16</definedName>
    <definedName name="areaspec_bachelormaj_tle_over40">'[1]II. Table 1'!$X$19</definedName>
    <definedName name="areaspec_bachelormaj_tle_under40">'[1]II. Table 1'!$AW$19</definedName>
    <definedName name="areaspec_bachelormin_ap_over40">'[1]II. Table 1'!$AC$17</definedName>
    <definedName name="areaspec_bachelormin_ap_under40">'[1]II. Table 1'!$BB$17</definedName>
    <definedName name="areaspec_bachelormin_eng_over40">'[1]II. Table 1'!$AC$13</definedName>
    <definedName name="areaspec_bachelormin_eng_under40">'[1]II. Table 1'!$BB$13</definedName>
    <definedName name="areaspec_bachelormin_esp_over40">'[1]II. Table 1'!$AC$18</definedName>
    <definedName name="areaspec_bachelormin_esp_under40">'[1]II. Table 1'!$BB$18</definedName>
    <definedName name="areaspec_bachelormin_fil_over40">'[1]II. Table 1'!$AC$15</definedName>
    <definedName name="areaspec_bachelormin_fil_under40">'[1]II. Table 1'!$BB$15</definedName>
    <definedName name="areaspec_bachelormin_mapeh_over40">'[1]II. Table 1'!$AC$20</definedName>
    <definedName name="areaspec_bachelormin_mapeh_under40">'[1]II. Table 1'!$BB$20</definedName>
    <definedName name="areaspec_bachelormin_math_over40">'[1]II. Table 1'!$AC$14</definedName>
    <definedName name="areaspec_bachelormin_math_under40">'[1]II. Table 1'!$BB$14</definedName>
    <definedName name="areaspec_bachelormin_sci_over40">'[1]II. Table 1'!$AC$16</definedName>
    <definedName name="areaspec_bachelormin_sci_under40">'[1]II. Table 1'!$BB$16</definedName>
    <definedName name="areaspec_bachelormin_tle_over40">'[1]II. Table 1'!$AC$19</definedName>
    <definedName name="areaspec_bachelormin_tle_under40">'[1]II. Table 1'!$BB$19</definedName>
    <definedName name="areaspec_gradmaj_ap_over40">'[1]II. Table 1'!$S$17</definedName>
    <definedName name="areaspec_gradmaj_ap_under40">'[1]II. Table 1'!$AR$17</definedName>
    <definedName name="areaspec_gradmaj_eng_under40">'[1]II. Table 1'!$AR$13</definedName>
    <definedName name="areaspec_gradmaj_esp_over40">'[1]II. Table 1'!$S$18</definedName>
    <definedName name="areaspec_gradmaj_esp_under40">'[1]II. Table 1'!$AR$18</definedName>
    <definedName name="areaspec_gradmaj_fil_over40">'[1]II. Table 1'!$S$15</definedName>
    <definedName name="areaspec_gradmaj_fil_under40">'[1]II. Table 1'!$AR$15</definedName>
    <definedName name="areaspec_gradmaj_mapeh_over40">'[1]II. Table 1'!$S$20</definedName>
    <definedName name="areaspec_gradmaj_mapeh_under40">'[1]II. Table 1'!$AR$20</definedName>
    <definedName name="areaspec_gradmaj_math_over40">'[1]II. Table 1'!$S$14</definedName>
    <definedName name="areaspec_gradmaj_math_under40">'[1]II. Table 1'!$AR$14</definedName>
    <definedName name="areaspec_gradmaj_sci_over40">'[1]II. Table 1'!$S$16</definedName>
    <definedName name="areaspec_gradmaj_sci_under40">'[1]II. Table 1'!$AR$16</definedName>
    <definedName name="areaspec_gradmaj_tle_over40">'[1]II. Table 1'!$S$19</definedName>
    <definedName name="areaspec_gradmaj_tle_under40">'[1]II. Table 1'!$AR$19</definedName>
    <definedName name="areaspec_wospcltrng_ap_over40">'[1]II. Table 1'!$AM$17</definedName>
    <definedName name="areaspec_wospcltrng_ap_under40">'[1]II. Table 1'!$BL$17</definedName>
    <definedName name="areaspec_wospcltrng_eng_over40">'[1]II. Table 1'!$AM$13</definedName>
    <definedName name="areaspec_wospcltrng_eng_under40">'[1]II. Table 1'!$BL$13</definedName>
    <definedName name="areaspec_wospcltrng_esp_over40">'[1]II. Table 1'!$AM$18</definedName>
    <definedName name="areaspec_wospcltrng_esp_under40">'[1]II. Table 1'!$BL$18</definedName>
    <definedName name="areaspec_wospcltrng_fil_over40">'[1]II. Table 1'!$AM$15</definedName>
    <definedName name="areaspec_wospcltrng_fil_under40">'[1]II. Table 1'!$BL$15</definedName>
    <definedName name="areaspec_wospcltrng_mapeh_over40">'[1]II. Table 1'!$AM$20</definedName>
    <definedName name="areaspec_wospcltrng_mapeh_under40">'[1]II. Table 1'!$BL$20</definedName>
    <definedName name="areaspec_wospcltrng_math_over40">'[1]II. Table 1'!$AM$14</definedName>
    <definedName name="areaspec_wospcltrng_math_under40">'[1]II. Table 1'!$BL$14</definedName>
    <definedName name="areaspec_wospcltrng_sci_over40">'[1]II. Table 1'!$AM$16</definedName>
    <definedName name="areaspec_wospcltrng_sci_under40">'[1]II. Table 1'!$BL$16</definedName>
    <definedName name="areaspec_wospcltrng_tle_over40">'[1]II. Table 1'!$AM$19</definedName>
    <definedName name="areaspec_wospcltrng_tle_under40">'[1]II. Table 1'!$BL$19</definedName>
    <definedName name="areaspec_wspcltrng_ap_over40">'[1]II. Table 1'!$AH$17</definedName>
    <definedName name="areaspec_wspcltrng_ap_under40">'[1]II. Table 1'!$BG$17</definedName>
    <definedName name="areaspec_wspcltrng_eng_over40">'[1]II. Table 1'!$AH$13</definedName>
    <definedName name="areaspec_wspcltrng_eng_under40">'[1]II. Table 1'!$BG$13</definedName>
    <definedName name="areaspec_wspcltrng_esp_over40">'[1]II. Table 1'!$AH$18</definedName>
    <definedName name="areaspec_wspcltrng_esp_under40">'[1]II. Table 1'!$BG$18</definedName>
    <definedName name="areaspec_wspcltrng_fil_over40">'[1]II. Table 1'!$AH$15</definedName>
    <definedName name="areaspec_wspcltrng_fil_under40">'[1]II. Table 1'!$BG$15</definedName>
    <definedName name="areaspec_wspcltrng_mapeh_over40">'[1]II. Table 1'!$AH$20</definedName>
    <definedName name="areaspec_wspcltrng_mapeh_under40">'[1]II. Table 1'!$BG$20</definedName>
    <definedName name="areaspec_wspcltrng_math_over40">'[1]II. Table 1'!$AH$14</definedName>
    <definedName name="areaspec_wspcltrng_math_under40">'[1]II. Table 1'!$BG$14</definedName>
    <definedName name="areaspec_wspcltrng_sci_over40">'[1]II. Table 1'!$AH$16</definedName>
    <definedName name="areaspec_wspcltrng_sci_under40">'[1]II. Table 1'!$BG$16</definedName>
    <definedName name="areaspec_wspcltrng_tle_over40">'[1]II. Table 1'!$AH$19</definedName>
    <definedName name="areaspec_wspcltrng_tle_under40">'[1]II. Table 1'!$BG$19</definedName>
    <definedName name="arts_applied_f_gr11">'[1]I. Tables 3 &amp; 4'!$S$15</definedName>
    <definedName name="arts_applied_f_gr12">'[1]I. Tables 3 &amp; 4'!$Y$15</definedName>
    <definedName name="arts_applied_m_gr11">'[1]I. Tables 3 &amp; 4'!$P$15</definedName>
    <definedName name="arts_applied_m_gr12">'[1]I. Tables 3 &amp; 4'!$V$15</definedName>
    <definedName name="arts_cw_f_gr11">'[1]I. Tables 3 &amp; 4'!$S$12</definedName>
    <definedName name="arts_cw_f_gr12">'[1]I. Tables 3 &amp; 4'!$Y$12</definedName>
    <definedName name="arts_cw_m_gr11">'[1]I. Tables 3 &amp; 4'!$P$12</definedName>
    <definedName name="arts_cw_m_gr12">'[1]I. Tables 3 &amp; 4'!$V$12</definedName>
    <definedName name="arts_dance_f_gr11">'[1]I. Tables 3 &amp; 4'!$S$9</definedName>
    <definedName name="arts_dance_f_gr12">'[1]I. Tables 3 &amp; 4'!$Y$9</definedName>
    <definedName name="arts_dance_m_gr11">'[1]I. Tables 3 &amp; 4'!$P$9</definedName>
    <definedName name="arts_dance_m_gr12">'[1]I. Tables 3 &amp; 4'!$V$9</definedName>
    <definedName name="arts_literary_f_gr11">'[1]I. Tables 3 &amp; 4'!$S$11</definedName>
    <definedName name="arts_literary_f_gr12">'[1]I. Tables 3 &amp; 4'!$Y$11</definedName>
    <definedName name="arts_literary_m_gr11">'[1]I. Tables 3 &amp; 4'!$P$11</definedName>
    <definedName name="arts_literary_m_gr12">'[1]I. Tables 3 &amp; 4'!$V$11</definedName>
    <definedName name="arts_media_f_gr11">'[1]I. Tables 3 &amp; 4'!$S$13</definedName>
    <definedName name="arts_media_f_gr12">'[1]I. Tables 3 &amp; 4'!$Y$13</definedName>
    <definedName name="arts_media_m_gr11">'[1]I. Tables 3 &amp; 4'!$P$13</definedName>
    <definedName name="arts_media_m_gr12">'[1]I. Tables 3 &amp; 4'!$V$13</definedName>
    <definedName name="arts_music_f_gr11">'[1]I. Tables 3 &amp; 4'!$S$8</definedName>
    <definedName name="arts_music_f_gr12">'[1]I. Tables 3 &amp; 4'!$Y$8</definedName>
    <definedName name="arts_music_m_gr11">'[1]I. Tables 3 &amp; 4'!$P$8</definedName>
    <definedName name="arts_music_m_gr12">'[1]I. Tables 3 &amp; 4'!$V$8</definedName>
    <definedName name="arts_thtr_f_gr11">'[1]I. Tables 3 &amp; 4'!$S$10</definedName>
    <definedName name="arts_thtr_f_gr12">'[1]I. Tables 3 &amp; 4'!$Y$10</definedName>
    <definedName name="arts_thtr_m_gr11">'[1]I. Tables 3 &amp; 4'!$P$10</definedName>
    <definedName name="arts_thtr_m_gr12">'[1]I. Tables 3 &amp; 4'!$V$10</definedName>
    <definedName name="arts_traditional_f_gr11">'[1]I. Tables 3 &amp; 4'!$S$16</definedName>
    <definedName name="arts_traditional_f_gr12">'[1]I. Tables 3 &amp; 4'!$Y$16</definedName>
    <definedName name="arts_traditional_m_gr11">'[1]I. Tables 3 &amp; 4'!$P$16</definedName>
    <definedName name="arts_traditional_m_gr12">'[1]I. Tables 3 &amp; 4'!$V$16</definedName>
    <definedName name="arts_visual_f_gr11">'[1]I. Tables 3 &amp; 4'!$S$14</definedName>
    <definedName name="arts_visual_f_gr12">'[1]I. Tables 3 &amp; 4'!$Y$14</definedName>
    <definedName name="arts_visual_m_gr11">'[1]I. Tables 3 &amp; 4'!$P$14</definedName>
    <definedName name="arts_visual_m_gr12">'[1]I. Tables 3 &amp; 4'!$V$14</definedName>
    <definedName name="avail_sp_sportsclub_aerogymn">'[1]XI. Box 1'!$AO$23</definedName>
    <definedName name="avail_sp_sportsclub_archery">'[1]XI. Box 1'!$AO$10</definedName>
    <definedName name="avail_sp_sportsclub_arnis">'[1]XI. Box 1'!$AO$11</definedName>
    <definedName name="avail_sp_sportsclub_athl_para">'[1]XI. Box 1'!$AO$37</definedName>
    <definedName name="avail_sp_sportsclub_athlrun">'[1]XI. Box 1'!$AO$13</definedName>
    <definedName name="avail_sp_sportsclub_athlthrow">'[1]XI. Box 1'!$AO$12</definedName>
    <definedName name="avail_sp_sportsclub_badminton">'[1]XI. Box 1'!$AO$14</definedName>
    <definedName name="avail_sp_sportsclub_baseball">'[1]XI. Box 1'!$AO$16</definedName>
    <definedName name="avail_sp_sportsclub_basketball">'[1]XI. Box 1'!$AO$15</definedName>
    <definedName name="avail_sp_sportsclub_billard">'[1]XI. Box 1'!$AO$17</definedName>
    <definedName name="avail_sp_sportsclub_bocce_para">'[1]XI. Box 1'!$AO$40</definedName>
    <definedName name="avail_sp_sportsclub_boxing">'[1]XI. Box 1'!$AO$18</definedName>
    <definedName name="avail_sp_sportsclub_chess">'[1]XI. Box 1'!$AO$19</definedName>
    <definedName name="avail_sp_sportsclub_dancesports">'[1]XI. Box 1'!$AO$20</definedName>
    <definedName name="avail_sp_sportsclub_football">'[1]XI. Box 1'!$AO$21</definedName>
    <definedName name="avail_sp_sportsclub_futsal">'[1]XI. Box 1'!$AO$22</definedName>
    <definedName name="avail_sp_sportsclub_goalball">'[1]XI. Box 1'!$AO$39</definedName>
    <definedName name="avail_sp_sportsclub_mag">'[1]XI. Box 1'!$AO$24</definedName>
    <definedName name="avail_sp_sportsclub_pencaksilat">'[1]XI. Box 1'!$AO$27</definedName>
    <definedName name="avail_sp_sportsclub_philgames">'[1]XI. Box 1'!$AO$41</definedName>
    <definedName name="avail_sp_sportsclub_rg">'[1]XI. Box 1'!$AO$26</definedName>
    <definedName name="avail_sp_sportsclub_sepaktakraw">'[1]XI. Box 1'!$AO$28</definedName>
    <definedName name="avail_sp_sportsclub_softball">'[1]XI. Box 1'!$AO$29</definedName>
    <definedName name="avail_sp_sportsclub_swimming">'[1]XI. Box 1'!$AO$30</definedName>
    <definedName name="avail_sp_sportsclub_swimming_para">'[1]XI. Box 1'!$AO$38</definedName>
    <definedName name="avail_sp_sportsclub_tabletennis">'[1]XI. Box 1'!$AO$31</definedName>
    <definedName name="avail_sp_sportsclub_taekwondo">'[1]XI. Box 1'!$AO$32</definedName>
    <definedName name="avail_sp_sportsclub_tennis">'[1]XI. Box 1'!$AO$33</definedName>
    <definedName name="avail_sp_sportsclub_volleyball">'[1]XI. Box 1'!$AO$34</definedName>
    <definedName name="avail_sp_sportsclub_wag">'[1]XI. Box 1'!$AO$25</definedName>
    <definedName name="avail_sp_sportsclub_wrestling">'[1]XI. Box 1'!$AO$35</definedName>
    <definedName name="avail_sp_sportsclub_wushu">'[1]XI. Box 1'!$AO$36</definedName>
    <definedName name="avail_sp_sportsevent_aerogymn">'[1]XI. Box 1'!$AJ$23</definedName>
    <definedName name="avail_sp_sportsevent_archery">'[1]XI. Box 1'!$AJ$10</definedName>
    <definedName name="avail_sp_sportsevent_arnis">'[1]XI. Box 1'!$AJ$11</definedName>
    <definedName name="avail_sp_sportsevent_athl_para">'[1]XI. Box 1'!$AJ$37</definedName>
    <definedName name="avail_sp_sportsevent_athlrun">'[1]XI. Box 1'!$AJ$13</definedName>
    <definedName name="avail_sp_sportsevent_athlthrow">'[1]XI. Box 1'!$AJ$12</definedName>
    <definedName name="avail_sp_sportsevent_badminton">'[1]XI. Box 1'!$AJ$14</definedName>
    <definedName name="avail_sp_sportsevent_baseball">'[1]XI. Box 1'!$AJ$16</definedName>
    <definedName name="avail_sp_sportsevent_basketball">'[1]XI. Box 1'!$AJ$15</definedName>
    <definedName name="avail_sp_sportsevent_billard">'[1]XI. Box 1'!$AJ$17</definedName>
    <definedName name="avail_sp_sportsevent_bocce_para">'[1]XI. Box 1'!$AJ$40</definedName>
    <definedName name="avail_sp_sportsevent_boxing">'[1]XI. Box 1'!$AJ$18</definedName>
    <definedName name="avail_sp_sportsevent_chess">'[1]XI. Box 1'!$AJ$19</definedName>
    <definedName name="avail_sp_sportsevent_dancesports">'[1]XI. Box 1'!$AJ$20</definedName>
    <definedName name="avail_sp_sportsevent_football">'[1]XI. Box 1'!$AJ$21</definedName>
    <definedName name="avail_sp_sportsevent_futsal">'[1]XI. Box 1'!$AJ$22</definedName>
    <definedName name="avail_sp_sportsevent_goalball">'[1]XI. Box 1'!$AJ$39</definedName>
    <definedName name="avail_sp_sportsevent_mag">'[1]XI. Box 1'!$AJ$24</definedName>
    <definedName name="avail_sp_sportsevent_pencaksilat">'[1]XI. Box 1'!$AJ$27</definedName>
    <definedName name="avail_sp_sportsevent_philgames">'[1]XI. Box 1'!$AJ$41</definedName>
    <definedName name="avail_sp_sportsevent_rg">'[1]XI. Box 1'!$AJ$26</definedName>
    <definedName name="avail_sp_sportsevent_sepaktakraw">'[1]XI. Box 1'!$AJ$28</definedName>
    <definedName name="avail_sp_sportsevent_softball">'[1]XI. Box 1'!$AJ$29</definedName>
    <definedName name="avail_sp_sportsevent_swimming">'[1]XI. Box 1'!$AJ$30</definedName>
    <definedName name="avail_sp_sportsevent_swimming_para">'[1]XI. Box 1'!$AJ$38</definedName>
    <definedName name="avail_sp_sportsevent_tabletennis">'[1]XI. Box 1'!$AJ$31</definedName>
    <definedName name="avail_sp_sportsevent_taekwondo">'[1]XI. Box 1'!$AJ$32</definedName>
    <definedName name="avail_sp_sportsevent_tennis">'[1]XI. Box 1'!$AJ$33</definedName>
    <definedName name="avail_sp_sportsevent_volleyball">'[1]XI. Box 1'!$AJ$34</definedName>
    <definedName name="avail_sp_sportsevent_wag">'[1]XI. Box 1'!$AJ$25</definedName>
    <definedName name="avail_sp_sportsevent_wrestling">'[1]XI. Box 1'!$AJ$35</definedName>
    <definedName name="avail_sp_sportsevent_wushu">'[1]XI. Box 1'!$AJ$36</definedName>
    <definedName name="avail_sp_sportsfac_aerogymn">'[1]XI. Box 1'!$AT$23</definedName>
    <definedName name="avail_sp_sportsfac_archery">'[1]XI. Box 1'!$AT$10</definedName>
    <definedName name="avail_sp_sportsfac_arnis">'[1]XI. Box 1'!$AT$11</definedName>
    <definedName name="avail_sp_sportsfac_athl_para">'[1]XI. Box 1'!$AT$37</definedName>
    <definedName name="avail_sp_sportsfac_athlrun">'[1]XI. Box 1'!$AT$13</definedName>
    <definedName name="avail_sp_sportsfac_athlthrow">'[1]XI. Box 1'!$AT$12</definedName>
    <definedName name="avail_sp_sportsfac_badminton">'[1]XI. Box 1'!$AT$14</definedName>
    <definedName name="avail_sp_sportsfac_baseball">'[1]XI. Box 1'!$AT$16</definedName>
    <definedName name="avail_sp_sportsfac_basketball">'[1]XI. Box 1'!$AT$15</definedName>
    <definedName name="avail_sp_sportsfac_billard">'[1]XI. Box 1'!$AT$17</definedName>
    <definedName name="avail_sp_sportsfac_bocce_para">'[1]XI. Box 1'!$AT$40</definedName>
    <definedName name="avail_sp_sportsfac_boxing">'[1]XI. Box 1'!$AT$18</definedName>
    <definedName name="avail_sp_sportsfac_chess">'[1]XI. Box 1'!$AT$19</definedName>
    <definedName name="avail_sp_sportsfac_dancesports">'[1]XI. Box 1'!$AT$20</definedName>
    <definedName name="avail_sp_sportsfac_football">'[1]XI. Box 1'!$AT$21</definedName>
    <definedName name="avail_sp_sportsfac_futsal">'[1]XI. Box 1'!$AT$22</definedName>
    <definedName name="avail_sp_sportsfac_goalball">'[1]XI. Box 1'!$AT$39</definedName>
    <definedName name="avail_sp_sportsfac_mag">'[1]XI. Box 1'!$AT$24</definedName>
    <definedName name="avail_sp_sportsfac_pencaksilat">'[1]XI. Box 1'!$AT$27</definedName>
    <definedName name="avail_sp_sportsfac_philgames">'[1]XI. Box 1'!$AT$41</definedName>
    <definedName name="avail_sp_sportsfac_rg">'[1]XI. Box 1'!$AT$26</definedName>
    <definedName name="avail_sp_sportsfac_sepaktakraw">'[1]XI. Box 1'!$AT$28</definedName>
    <definedName name="avail_sp_sportsfac_softball">'[1]XI. Box 1'!$AT$29</definedName>
    <definedName name="avail_sp_sportsfac_swimming">'[1]XI. Box 1'!$AT$30</definedName>
    <definedName name="avail_sp_sportsfac_swimming_para">'[1]XI. Box 1'!$AT$38</definedName>
    <definedName name="avail_sp_sportsfac_tabletennis">'[1]XI. Box 1'!$AT$31</definedName>
    <definedName name="avail_sp_sportsfac_taekwondo">'[1]XI. Box 1'!$AT$32</definedName>
    <definedName name="avail_sp_sportsfac_tennis">'[1]XI. Box 1'!$AT$33</definedName>
    <definedName name="avail_sp_sportsfac_volleyball">'[1]XI. Box 1'!$AT$34</definedName>
    <definedName name="avail_sp_sportsfac_wag">'[1]XI. Box 1'!$AT$25</definedName>
    <definedName name="avail_sp_sportsfac_wrestling">'[1]XI. Box 1'!$AT$35</definedName>
    <definedName name="avail_sp_sportsfac_wushu">'[1]XI. Box 1'!$AT$36</definedName>
    <definedName name="BARMM">[1]list!$O$2:$O$12</definedName>
    <definedName name="CAR">[1]list!$P$2:$P$9</definedName>
    <definedName name="CARAGA">[1]list!$N$2:$N$13</definedName>
    <definedName name="cba_ft_learner_es">'[1]X. Box 1'!$J$22</definedName>
    <definedName name="cba_ft_learner_jhs">'[1]X. Box 1'!$J$23</definedName>
    <definedName name="cba_ft_learner_shs">'[1]X. Box 1'!$J$24</definedName>
    <definedName name="cba_ft_personnel_nonteach">'[1]X. Box 1'!$J$14</definedName>
    <definedName name="cba_ft_personnel_teach">'[1]X. Box 1'!$J$12</definedName>
    <definedName name="cba_ft_personnel_teachrel">'[1]X. Box 1'!$J$13</definedName>
    <definedName name="cba_ref_learner_es">'[1]X. Box 1'!$P$22</definedName>
    <definedName name="cba_ref_learner_jhs">'[1]X. Box 1'!$P$23</definedName>
    <definedName name="cba_ref_learner_shs">'[1]X. Box 1'!$P$24</definedName>
    <definedName name="cba_ref_personnel_nonteach">'[1]X. Box 1'!$P$14</definedName>
    <definedName name="cba_ref_personnel_teach">'[1]X. Box 1'!$P$12</definedName>
    <definedName name="cba_ref_personnel_teachrel">'[1]X. Box 1'!$P$13</definedName>
    <definedName name="cba_total_learner_es">'[1]X. Box 1'!$V$22</definedName>
    <definedName name="cba_total_learner_jhs">'[1]X. Box 1'!$V$23</definedName>
    <definedName name="cba_total_learner_shs">'[1]X. Box 1'!$V$24</definedName>
    <definedName name="cba_total_personnel_nonteach">'[1]X. Box 1'!$V$14</definedName>
    <definedName name="cba_total_personnel_teach">'[1]X. Box 1'!$V$12</definedName>
    <definedName name="cba_total_personnel_teachrel">'[1]X. Box 1'!$V$13</definedName>
    <definedName name="clinic_bathroom_unit_func">'IX. Boxes 2 &amp; 3; Table 2'!$U$15</definedName>
    <definedName name="clinic_bathroom_unit_nonfunc">'IX. Boxes 2 &amp; 3; Table 2'!$Z$15</definedName>
    <definedName name="clinic_bpapparatus_unit_func">'IX. Boxes 2 &amp; 3; Table 2'!$U$22</definedName>
    <definedName name="clinic_bpapparatus_unit_nonfunc">'IX. Boxes 2 &amp; 3; Table 2'!$Z$22</definedName>
    <definedName name="clinic_dentalchair_unit_func">'IX. Boxes 2 &amp; 3; Table 2'!$U$17</definedName>
    <definedName name="clinic_dentalchair_unit_nonfunc">'IX. Boxes 2 &amp; 3; Table 2'!$Z$17</definedName>
    <definedName name="clinic_designated_yes">'IX. Boxes 2 &amp; 3; Table 2'!$AA$6</definedName>
    <definedName name="clinic_firstaidkits_unit_func">'IX. Boxes 2 &amp; 3; Table 2'!$U$18</definedName>
    <definedName name="clinic_firstaidkits_unit_nonfunc">'IX. Boxes 2 &amp; 3; Table 2'!$Z$18</definedName>
    <definedName name="clinic_hcbed_unit_func">'IX. Boxes 2 &amp; 3; Table 2'!$U$16</definedName>
    <definedName name="clinic_hcbed_unit_nonfunc">'IX. Boxes 2 &amp; 3; Table 2'!$Z$16</definedName>
    <definedName name="clinic_heightboard_unit_func">'IX. Boxes 2 &amp; 3; Table 2'!$U$19</definedName>
    <definedName name="clinic_heightboard_unit_nonfunc">'IX. Boxes 2 &amp; 3; Table 2'!$Z$19</definedName>
    <definedName name="clinic_nebulizer_units_func">'IX. Boxes 2 &amp; 3; Table 2'!$U$23</definedName>
    <definedName name="clinic_nebulizer_units_nonfunc">'IX. Boxes 2 &amp; 3; Table 2'!$Z$23</definedName>
    <definedName name="clinic_sdo_personnel_ifyes">'IX. Boxes 2 &amp; 3; Table 2'!$N$10</definedName>
    <definedName name="clinic_sdo_personnel_yes">'IX. Boxes 2 &amp; 3; Table 2'!$AA$8</definedName>
    <definedName name="clinic_sterilizer_units_func">'IX. Boxes 2 &amp; 3; Table 2'!$U$21</definedName>
    <definedName name="clinic_sterilizer_units_nonfunc">'IX. Boxes 2 &amp; 3; Table 2'!$Z$21</definedName>
    <definedName name="clinic_weighingscale_units_func">'IX. Boxes 2 &amp; 3; Table 2'!$U$20</definedName>
    <definedName name="clinic_weighingscale_units_nonfunc">'IX. Boxes 2 &amp; 3; Table 2'!$Z$20</definedName>
    <definedName name="combo_avemonthlyexpense_fundingsource1">'[1]VI. Box 1'!$AF$18</definedName>
    <definedName name="combo_avemonthlyexpense_fundingsource10">'[1]VI. Box 1'!$AF$27</definedName>
    <definedName name="combo_avemonthlyexpense_fundingsource2">'[1]VI. Box 1'!$AF$19</definedName>
    <definedName name="combo_avemonthlyexpense_fundingsource3">'[1]VI. Box 1'!$AF$20</definedName>
    <definedName name="combo_avemonthlyexpense_fundingsource4">'[1]VI. Box 1'!$AF$21</definedName>
    <definedName name="combo_avemonthlyexpense_fundingsource5">'[1]VI. Box 1'!$AF$22</definedName>
    <definedName name="combo_avemonthlyexpense_fundingsource6">'[1]VI. Box 1'!$AF$23</definedName>
    <definedName name="combo_avemonthlyexpense_fundingsource7">'[1]VI. Box 1'!$AF$24</definedName>
    <definedName name="combo_avemonthlyexpense_fundingsource8">'[1]VI. Box 1'!$AF$25</definedName>
    <definedName name="combo_avemonthlyexpense_fundingsource9">'[1]VI. Box 1'!$AF$26</definedName>
    <definedName name="combo_avemonthlyexpense_internetserviceprovider1">'[1]VI. Box 1'!$D$18</definedName>
    <definedName name="combo_avemonthlyexpense_internetserviceprovider10">'[1]VI. Box 1'!$D$27</definedName>
    <definedName name="combo_avemonthlyexpense_internetserviceprovider2">'[1]VI. Box 1'!$D$19</definedName>
    <definedName name="combo_avemonthlyexpense_internetserviceprovider3">'[1]VI. Box 1'!$D$20</definedName>
    <definedName name="combo_avemonthlyexpense_internetserviceprovider4">'[1]VI. Box 1'!$D$21</definedName>
    <definedName name="combo_avemonthlyexpense_internetserviceprovider5">'[1]VI. Box 1'!$D$22</definedName>
    <definedName name="combo_avemonthlyexpense_internetserviceprovider6">'[1]VI. Box 1'!$D$23</definedName>
    <definedName name="combo_avemonthlyexpense_internetserviceprovider7">'[1]VI. Box 1'!$D$24</definedName>
    <definedName name="combo_avemonthlyexpense_internetserviceprovider8">'[1]VI. Box 1'!$D$25</definedName>
    <definedName name="combo_avemonthlyexpense_internetserviceprovider9">'[1]VI. Box 1'!$D$26</definedName>
    <definedName name="combo_avemontlyexpense_typesofinternet1">'[1]VI. Box 1'!$J$18</definedName>
    <definedName name="combo_avemontlyexpense_typesofinternet10">'[1]VI. Box 1'!$J$27</definedName>
    <definedName name="combo_avemontlyexpense_typesofinternet2">'[1]VI. Box 1'!$J$19</definedName>
    <definedName name="combo_avemontlyexpense_typesofinternet3">'[1]VI. Box 1'!$J$20</definedName>
    <definedName name="combo_avemontlyexpense_typesofinternet4">'[1]VI. Box 1'!$J$21</definedName>
    <definedName name="combo_avemontlyexpense_typesofinternet5">'[1]VI. Box 1'!$J$22</definedName>
    <definedName name="combo_avemontlyexpense_typesofinternet6">'[1]VI. Box 1'!$J$23</definedName>
    <definedName name="combo_avemontlyexpense_typesofinternet7">'[1]VI. Box 1'!$J$24</definedName>
    <definedName name="combo_avemontlyexpense_typesofinternet8">'[1]VI. Box 1'!$J$25</definedName>
    <definedName name="combo_avemontlyexpense_typesofinternet9">'[1]VI. Box 1'!$J$26</definedName>
    <definedName name="combo_level_of_education1">'[1]VI. Box 1'!$P$18</definedName>
    <definedName name="combo_level_of_education10">'[1]VI. Box 1'!$P$27</definedName>
    <definedName name="combo_level_of_education2">'[1]VI. Box 1'!$P$19</definedName>
    <definedName name="combo_level_of_education3">'[1]VI. Box 1'!$P$20</definedName>
    <definedName name="combo_level_of_education4">'[1]VI. Box 1'!$P$21</definedName>
    <definedName name="combo_level_of_education5">'[1]VI. Box 1'!$P$22</definedName>
    <definedName name="combo_level_of_education6">'[1]VI. Box 1'!$P$23</definedName>
    <definedName name="combo_level_of_education7">'[1]VI. Box 1'!$P$24</definedName>
    <definedName name="combo_level_of_education8">'[1]VI. Box 1'!$P$25</definedName>
    <definedName name="combo_level_of_education9">'[1]VI. Box 1'!$P$26</definedName>
    <definedName name="combo_purpose1">'[1]VI. Box 1'!$V$18</definedName>
    <definedName name="combo_purpose10">'[1]VI. Box 1'!$V$27</definedName>
    <definedName name="combo_purpose2">'[1]VI. Box 1'!$V$19</definedName>
    <definedName name="combo_purpose3">'[1]VI. Box 1'!$V$20</definedName>
    <definedName name="combo_purpose4">'[1]VI. Box 1'!$V$21</definedName>
    <definedName name="combo_purpose5">'[1]VI. Box 1'!$V$22</definedName>
    <definedName name="combo_purpose6">'[1]VI. Box 1'!$V$23</definedName>
    <definedName name="combo_purpose7">'[1]VI. Box 1'!$V$24</definedName>
    <definedName name="combo_purpose8">'[1]VI. Box 1'!$V$25</definedName>
    <definedName name="combo_purpose9">'[1]VI. Box 1'!$V$26</definedName>
    <definedName name="cp_inc_status_lrpc_monitoring_bullying">'[1]X. Box 2 (items 5 &amp; 6)'!$X$16</definedName>
    <definedName name="cp_inc_status_lrpc_monitoring_car">'[1]X. Box 2 (items 5 &amp; 6)'!$X$18</definedName>
    <definedName name="cp_inc_status_lrpc_monitoring_childabuse">'[1]X. Box 2 (items 5 &amp; 6)'!$X$17</definedName>
    <definedName name="cp_inc_status_lrpc_monitoring_cicl">'[1]X. Box 2 (items 5 &amp; 6)'!$X$19</definedName>
    <definedName name="cp_inc_status_lrpc_monitoring_other">'[1]X. Box 2 (items 5 &amp; 6)'!$X$20</definedName>
    <definedName name="cp_inc_status_lrpc_referred_ga_bullying">'[1]X. Box 2 (items 5 &amp; 6)'!$AH$16</definedName>
    <definedName name="cp_inc_status_lrpc_referred_ga_car">'[1]X. Box 2 (items 5 &amp; 6)'!$AH$18</definedName>
    <definedName name="cp_inc_status_lrpc_referred_ga_childabuse">'[1]X. Box 2 (items 5 &amp; 6)'!$AH$17</definedName>
    <definedName name="cp_inc_status_lrpc_referred_ga_cicl">'[1]X. Box 2 (items 5 &amp; 6)'!$AH$19</definedName>
    <definedName name="cp_inc_status_lrpc_referred_ga_other">'[1]X. Box 2 (items 5 &amp; 6)'!$AH$20</definedName>
    <definedName name="cp_inc_status_lrpc_referred_ngo_bullying">'[1]X. Box 2 (items 5 &amp; 6)'!$AR$16</definedName>
    <definedName name="cp_inc_status_lrpc_referred_ngo_car">'[1]X. Box 2 (items 5 &amp; 6)'!$AR$18</definedName>
    <definedName name="cp_inc_status_lrpc_referred_ngo_childabuse">'[1]X. Box 2 (items 5 &amp; 6)'!$AR$17</definedName>
    <definedName name="cp_inc_status_lrpc_referred_ngo_cicl">'[1]X. Box 2 (items 5 &amp; 6)'!$AR$19</definedName>
    <definedName name="cp_inc_status_lrpc_referred_ngo_other">'[1]X. Box 2 (items 5 &amp; 6)'!$AR$20</definedName>
    <definedName name="cp_inc_status_lrpc_resolved_bullying">'[1]X. Box 2 (items 5 &amp; 6)'!$N$16</definedName>
    <definedName name="cp_inc_status_lrpc_resolved_other">'[1]X. Box 2 (items 5 &amp; 6)'!$N$20</definedName>
    <definedName name="curri_guide_ccam_als">'[1]XII. Box 4 (Part 1)'!$R$51</definedName>
    <definedName name="curri_guide_ccam_contents">'[1]XII. Box 4 (Part 1)'!$AB$51</definedName>
    <definedName name="curri_guide_ccam_context_lr">'[1]XII. Box 4 (Part 1)'!$AH$51</definedName>
    <definedName name="curri_guide_ccam_iped">'[1]XII. Box 4 (Part 1)'!$N$51</definedName>
    <definedName name="curri_guide_ccam_learningcomp">'[1]XII. Box 4 (Part 1)'!$V$51</definedName>
    <definedName name="curri_guide_ccam_sped">'[1]XII. Box 4 (Part 1)'!$J$51</definedName>
    <definedName name="curri_guide_drrm_als">'[1]XII. Box 4 (Part 1)'!$R$50</definedName>
    <definedName name="curri_guide_drrm_contents">'[1]XII. Box 4 (Part 1)'!$AB$50</definedName>
    <definedName name="curri_guide_drrm_context_lr">'[1]XII. Box 4 (Part 1)'!$AH$50</definedName>
    <definedName name="curri_guide_drrm_iped">'[1]XII. Box 4 (Part 1)'!$N$50</definedName>
    <definedName name="curri_guide_drrm_learningcomp">'[1]XII. Box 4 (Part 1)'!$V$50</definedName>
    <definedName name="curri_guide_drrm_sped">'[1]XII. Box 4 (Part 1)'!$J$50</definedName>
    <definedName name="div_ito_name">'[1]Part VI. ICT in Schools'!$D$28</definedName>
    <definedName name="div_ito_postitle">'[1]Part VI. ICT in Schools'!$E$32</definedName>
    <definedName name="div_school_personnel_name">'[1]Part IV. School Personnel'!$D$46</definedName>
    <definedName name="div_school_personnel_title">'[1]Part IV. School Personnel'!$E$50</definedName>
    <definedName name="div_sned_name">'[1]Part III. SNEd LRs'!$D$24</definedName>
    <definedName name="div_sned_pos_title">'[1]Part III. SNEd LRs'!$E$28</definedName>
    <definedName name="div_youthfc_name">'[1]Part V. Learner Orgs'!$D$27</definedName>
    <definedName name="div_youthfc_pos_title">'[1]Part V. Learner Orgs'!$E$31</definedName>
    <definedName name="do_accountant_name">'[1]Part XIV. MOOE'!$D$23</definedName>
    <definedName name="do_accountant_pos">'[1]Part XIV. MOOE'!$E$27</definedName>
    <definedName name="do_cp_focal_name">'[1]Part X. Learner Rights'!$D$24</definedName>
    <definedName name="do_cp_focal_pos_title">'[1]Part X. Learner Rights'!$E$28</definedName>
    <definedName name="do_eps_tlesptve_name">'[1]Part I. Learners'!$F$22</definedName>
    <definedName name="do_eps_tlesptve_postitle">'[1]Part I. Learners'!$G$26</definedName>
    <definedName name="do_eps_tvl_name">'[1]Part I. Learners'!$A$31</definedName>
    <definedName name="do_eps_tvl_postitle">'[1]Part I. Learners'!$B$35</definedName>
    <definedName name="do_iped_focal_name">'[1]Part XIII. IPEd'!$D$23</definedName>
    <definedName name="do_iped_focal_pos_title">'[1]Part XIII. IPEd'!$E$27</definedName>
    <definedName name="do_sports_coordinator_name">'[1]Part XI. School Sports'!$D$26</definedName>
    <definedName name="do_sports_coordinator_pos">'[1]Part XI. School Sports'!$E$30</definedName>
    <definedName name="drrm_cca_policies_do21_2015">'[1]XII. Box 1'!$D$9</definedName>
    <definedName name="drrm_cca_policies_do23_2015">'[1]XII. Box 1'!$D$11</definedName>
    <definedName name="drrm_cca_policies_do24_2021">'[1]XII. Box 1'!$D$19</definedName>
    <definedName name="drrm_cca_policies_do27_2015">'[1]XII. Box 1'!$D$13</definedName>
    <definedName name="drrm_cca_policies_do28_2016">'[1]XII. Box 1'!$D$17</definedName>
    <definedName name="drrm_cca_policies_do33_2021">'[1]XII. Box 1'!$D$21</definedName>
    <definedName name="drrm_cca_policies_do37_2015">'[1]XII. Box 1'!$D$15</definedName>
    <definedName name="drrm_cca_policies_do37_2022">'[1]XII. Box 1'!$D$23</definedName>
    <definedName name="drrm_cca_policies_do53_2022">'[1]XII. Box 1'!$D$25</definedName>
    <definedName name="drrm_ccam_plans_compre_ccam">'[1]XII. Box 1'!$Q$30</definedName>
    <definedName name="drrm_ccam_plans_compre_drrm">'[1]XII. Box 1'!$J$30</definedName>
    <definedName name="drrm_ccam_plans_developed_external">'[1]XII. Box 1'!$AD$33</definedName>
    <definedName name="drrm_ccam_plans_developed_lgu">'[1]XII. Box 1'!$W$33</definedName>
    <definedName name="drrm_ccam_plans_developed_parents">'[1]XII. Box 1'!$Q$33</definedName>
    <definedName name="drrm_ccam_plans_developed_sch_personnel">'[1]XII. Box 1'!$J$33</definedName>
    <definedName name="drrm_coordinator_name">'[1]Part XII. DRRM'!$D$28</definedName>
    <definedName name="drrm_coordinator_pos">'[1]Part XII. DRRM'!$E$32</definedName>
    <definedName name="drrm_monitor_eval_css_tool">'[1]XII. Box 1'!$D$72</definedName>
    <definedName name="drrm_monitor_goodpract_num_ccam">'[1]XII. Box 1'!$W$78</definedName>
    <definedName name="drrm_monitor_goodpract_num_drrm">'[1]XII. Box 1'!$Q$78</definedName>
    <definedName name="drrm_monitor_num_programs_developed">'[1]XII. Box 1'!$AI$81</definedName>
    <definedName name="drrm_org_budget_ccam_cost_ppa">'[1]XII. Box 1'!$AC$58</definedName>
    <definedName name="drrm_org_budget_ccam_num_ppa">'[1]XII. Box 1'!$W$58</definedName>
    <definedName name="drrm_org_budget_ccam_percent">'[1]XII. Box 1'!$AI$58</definedName>
    <definedName name="drrm_org_budget_drrm_cost_ppa">'[1]XII. Box 1'!$K$58</definedName>
    <definedName name="drrm_org_budget_drrm_num_ppa">'[1]XII. Box 1'!$E$58</definedName>
    <definedName name="drrm_org_budget_drrm_percent">'[1]XII. Box 1'!$Q$58</definedName>
    <definedName name="drrm_org_budget_sch_drrm_coordinator">'[1]XII. Box 1'!$D$49</definedName>
    <definedName name="drrm_org_budget_sch_drrm_team">'[1]XII. Box 1'!$D$47</definedName>
    <definedName name="drrm_policy_learner_exclude_f">'[1]XII. Box 1'!$I$41</definedName>
    <definedName name="drrm_policy_learner_exclude_m">'[1]XII. Box 1'!$E$41</definedName>
    <definedName name="drrm_policy_learner_ip_f">'[1]XII. Box 1'!$Q$41</definedName>
    <definedName name="drrm_policy_learner_ip_m">'[1]XII. Box 1'!$M$41</definedName>
    <definedName name="drrm_policy_learner_lwd_f">'[1]XII. Box 1'!$AG$41</definedName>
    <definedName name="drrm_policy_learner_lwd_m">'[1]XII. Box 1'!$AC$41</definedName>
    <definedName name="drrm_policy_learner_muslim_f">'[1]XII. Box 1'!$Y$41</definedName>
    <definedName name="drrm_policy_learner_muslim_m">'[1]XII. Box 1'!$U$41</definedName>
    <definedName name="drrm_research_num_drrm_developed">'[1]XII. Box 1'!$AI$66</definedName>
    <definedName name="drrm_research_num_drrm_sch_used_drrms_developed">'[1]XII. Box 1'!$D$69</definedName>
    <definedName name="drrm_research_num_drrm_undertaken">'[1]XII. Box 1'!$AI$63</definedName>
    <definedName name="electrical_offgrid_generator">'[1]VII. Box 1'!$AF$17</definedName>
    <definedName name="electrical_offgrid_generator_jhs">'[1]VII. Box 1'!$AR$17</definedName>
    <definedName name="electrical_offgrid_generator_shs">'[1]VII. Box 1'!$BD$17</definedName>
    <definedName name="electrical_supply_frequent_power_outage_elem">'[1]VII. Box 1'!$AB$34</definedName>
    <definedName name="electrical_supply_frequent_power_outage_jhs">'[1]VII. Box 1'!$AN$34</definedName>
    <definedName name="electrical_supply_frequent_power_outage_shs">'[1]VII. Box 1'!$AZ$34</definedName>
    <definedName name="electrical_supply_funding_source_mooe">'[1]VII. Box 1'!$O$24</definedName>
    <definedName name="electrical_supply_funding_source_others">'[1]VII. Box 1'!$O$32</definedName>
    <definedName name="electrical_supply_funding_source_private">'[1]VII. Box 1'!$O$30</definedName>
    <definedName name="electrical_supply_funding_sources_canteen">'[1]VII. Box 1'!$O$28</definedName>
    <definedName name="electrical_supply_funding_sources_lgu">'[1]VII. Box 1'!$O$26</definedName>
    <definedName name="electrical_supply_meter_submeter_elem">'[1]VII. Box 1'!$AF$12</definedName>
    <definedName name="electrical_supply_meter_submeter_jhs">'[1]VII. Box 1'!$AR$12</definedName>
    <definedName name="electrical_supply_meter_submeter_shs">'[1]VII. Box 1'!$BD$12</definedName>
    <definedName name="electrical_supply_offgrid_hydroelec_elem">'[1]VII. Box 1'!$AF$18</definedName>
    <definedName name="electrical_supply_offgrid_hydroelec_jhs">'[1]VII. Box 1'!$AR$18</definedName>
    <definedName name="electrical_supply_offgrid_hydroelec_shs">'[1]VII. Box 1'!$BD$18</definedName>
    <definedName name="electrical_supply_offgrid_microhydro_elem">'[1]VII. Box 1'!$AF$19</definedName>
    <definedName name="electrical_supply_offgrid_microhydro_jhs">'[1]VII. Box 1'!$AR$19</definedName>
    <definedName name="electrical_supply_offgrid_microhydro_shs">'[1]VII. Box 1'!$BD$19</definedName>
    <definedName name="electrical_supply_offgrid_solar_power">'[1]VII. Box 1'!$AF$16</definedName>
    <definedName name="electrical_supply_offgrid_solar_power_jhs">'[1]VII. Box 1'!$AR$16</definedName>
    <definedName name="electrical_supply_offgrid_solar_power_shs">'[1]VII. Box 1'!$BD$16</definedName>
    <definedName name="electrical_supply_offgrid_wt_wm_elem">'[1]VII. Box 1'!$AF$20</definedName>
    <definedName name="electrical_supply_offgrid_wt_wm_jhs">'[1]VII. Box 1'!$AR$20</definedName>
    <definedName name="electrical_supply_offgrid_wt_wm_shs">'[1]VII. Box 1'!$BD$20</definedName>
    <definedName name="electrical_supply_provider_elem">'[1]VII. Box 1'!$AB$10</definedName>
    <definedName name="electrical_supply_provider_jhs">'[1]VII. Box 1'!$AN$10</definedName>
    <definedName name="electrical_supply_provider_shs">'[1]VII. Box 1'!$AZ$10</definedName>
    <definedName name="electrical_supply_sources_grid">'[1]VII. Box 1'!$AF$8</definedName>
    <definedName name="electrical_supply_sources_grid_jhs">'[1]VII. Box 1'!$AR$8</definedName>
    <definedName name="electrical_supply_sources_grid_shs">'[1]VII. Box 1'!$BD$8</definedName>
    <definedName name="es_sch_ws_ifyes_chk_natural">'IX. Boxes 2 &amp; 3; Table 2'!$Z$37</definedName>
    <definedName name="feeding_agriculture_agicrops">'IX. Boxes 7 to 9'!$T$57</definedName>
    <definedName name="feeding_agriculture_fishpond">'IX. Boxes 7 to 9'!$T$56</definedName>
    <definedName name="feeding_agriculture_gulayan">'IX. Boxes 7 to 9'!$T$55</definedName>
    <definedName name="feeding_agriculture_livestock">'IX. Boxes 7 to 9'!$T$58</definedName>
    <definedName name="feeding_school_fund_barangay">'IX. Boxes 7 to 9'!$T$50</definedName>
    <definedName name="feeding_school_fund_canteen">'IX. Boxes 7 to 9'!$T$47</definedName>
    <definedName name="feeding_school_fund_lgu">'IX. Boxes 7 to 9'!$T$48</definedName>
    <definedName name="feeding_school_fund_mooe">'IX. Boxes 7 to 9'!$T$46</definedName>
    <definedName name="feeding_school_fund_privatesector">'IX. Boxes 7 to 9'!$T$51</definedName>
    <definedName name="feeding_school_fund_pta">'IX. Boxes 7 to 9'!$T$49</definedName>
    <definedName name="feeding_school_fund_sbfp">'IX. Boxes 7 to 9'!$T$52</definedName>
    <definedName name="gsp_lrpc_abuse_physical_cases_elem">'[1]X. Box 2 (item 1)'!$P$54</definedName>
    <definedName name="gsp_lrpc_abuse_physical_cases_jhs">'[1]X. Box 2 (item 1)'!$AJ$54</definedName>
    <definedName name="gsp_lrpc_abuse_physical_cases_shs">'[1]X. Box 2 (item 1)'!$BD$54</definedName>
    <definedName name="gsp_lrpc_abuse_psycho_cases_elem">'[1]X. Box 2 (item 1)'!$P$63</definedName>
    <definedName name="gsp_lrpc_abuse_psycho_cases_jhs">'[1]X. Box 2 (item 1)'!$AJ$63</definedName>
    <definedName name="gsp_lrpc_abuse_psycho_cases_shs">'[1]X. Box 2 (item 1)'!$BD$63</definedName>
    <definedName name="gsp_lrpc_abuse_sexual_cases_elem">'[1]X. Box 2 (item 1)'!$P$57</definedName>
    <definedName name="gsp_lrpc_abuse_sexual_cases_jhs">'[1]X. Box 2 (item 1)'!$AJ$57</definedName>
    <definedName name="gsp_lrpc_abuse_sexual_cases_shs">'[1]X. Box 2 (item 1)'!$BD$57</definedName>
    <definedName name="gsp_lrpc_abuse_verbal_cases_elem">'[1]X. Box 2 (item 1)'!$P$60</definedName>
    <definedName name="gsp_lrpc_abuse_verbal_cases_jhs">'[1]X. Box 2 (item 1)'!$AJ$60</definedName>
    <definedName name="gsp_lrpc_abuse_verbal_cases_shs">'[1]X. Box 2 (item 1)'!$BD$60</definedName>
    <definedName name="gsp_lrpc_bullying_cyber_cases_elem">'[1]X. Box 2 (item 1)'!$P$26</definedName>
    <definedName name="gsp_lrpc_bullying_cyber_cases_jhs">'[1]X. Box 2 (item 1)'!$AJ$26</definedName>
    <definedName name="gsp_lrpc_bullying_cyber_cases_shs">'[1]X. Box 2 (item 1)'!$BD$26</definedName>
    <definedName name="gsp_lrpc_bullying_gender_cases_elem">'[1]X. Box 2 (item 1)'!$P$23</definedName>
    <definedName name="gsp_lrpc_bullying_gender_cases_jhs">'[1]X. Box 2 (item 1)'!$AJ$23</definedName>
    <definedName name="gsp_lrpc_bullying_gender_cases_shs">'[1]X. Box 2 (item 1)'!$BD$23</definedName>
    <definedName name="gsp_lrpc_bullying_physical_cases_elem">'[1]X. Box 2 (item 1)'!$P$17</definedName>
    <definedName name="gsp_lrpc_bullying_physical_cases_jhs">'[1]X. Box 2 (item 1)'!$AJ$17</definedName>
    <definedName name="gsp_lrpc_bullying_physical_cases_shs">'[1]X. Box 2 (item 1)'!$BD$17</definedName>
    <definedName name="gsp_lrpc_bullying_precursor_cases_elem">'[1]X. Box 2 (item 1)'!$P$38</definedName>
    <definedName name="gsp_lrpc_bullying_precursor_cases_jhs">'[1]X. Box 2 (item 1)'!$AJ$38</definedName>
    <definedName name="gsp_lrpc_bullying_precursor_cases_shs">'[1]X. Box 2 (item 1)'!$BD$38</definedName>
    <definedName name="gsp_lrpc_bullying_psycho_emo_cases_elem">'[1]X. Box 2 (item 1)'!$P$32</definedName>
    <definedName name="gsp_lrpc_bullying_psycho_emo_cases_jhs">'[1]X. Box 2 (item 1)'!$AJ$32</definedName>
    <definedName name="gsp_lrpc_bullying_psycho_emo_cases_shs">'[1]X. Box 2 (item 1)'!$BD$32</definedName>
    <definedName name="gsp_lrpc_bullying_retaliation_cases_elem">'[1]X. Box 2 (item 1)'!$P$29</definedName>
    <definedName name="gsp_lrpc_bullying_retaliation_cases_jhs">'[1]X. Box 2 (item 1)'!$AJ$29</definedName>
    <definedName name="gsp_lrpc_bullying_retaliation_cases_shs">'[1]X. Box 2 (item 1)'!$BD$29</definedName>
    <definedName name="gsp_lrpc_bullying_social_cases_elem">'[1]X. Box 2 (item 1)'!$P$20</definedName>
    <definedName name="gsp_lrpc_bullying_social_cases_jhs">'[1]X. Box 2 (item 1)'!$AJ$20</definedName>
    <definedName name="gsp_lrpc_bullying_social_cases_shs">'[1]X. Box 2 (item 1)'!$BD$20</definedName>
    <definedName name="gsp_lrpc_bullying_verbal_cases_elem">'[1]X. Box 2 (item 1)'!$P$35</definedName>
    <definedName name="gsp_lrpc_bullying_verbal_cases_jhs">'[1]X. Box 2 (item 1)'!$AJ$35</definedName>
    <definedName name="gsp_lrpc_bullying_verbal_cases_shs">'[1]X. Box 2 (item 1)'!$BD$35</definedName>
    <definedName name="gsp_olpc_concern_cases_child_labor_elem">'[1]X. Box 2 (item 4)'!$P$15</definedName>
    <definedName name="gsp_olpc_concern_cases_child_labor_jhs">'[1]X. Box 2 (item 4)'!$AJ$15</definedName>
    <definedName name="gsp_olpc_concern_cases_child_labor_shs">'[1]X. Box 2 (item 4)'!$BD$15</definedName>
    <definedName name="gsp_olpc_concern_cases_child_marriage_elem">'[1]X. Box 2 (item 4)'!$P$29</definedName>
    <definedName name="gsp_olpc_concern_cases_child_marriage_jhs">'[1]X. Box 2 (item 4)'!$AJ$29</definedName>
    <definedName name="gsp_olpc_concern_cases_child_marriage_shs">'[1]X. Box 2 (item 4)'!$BD$29</definedName>
    <definedName name="gsp_olpc_concern_cases_child_trafficking_elem">'[1]X. Box 2 (item 4)'!$P$17</definedName>
    <definedName name="gsp_olpc_concern_cases_child_trafficking_jhs">'[1]X. Box 2 (item 4)'!$AJ$17</definedName>
    <definedName name="gsp_olpc_concern_cases_child_trafficking_shs">'[1]X. Box 2 (item 4)'!$BD$17</definedName>
    <definedName name="gsp_olpc_concern_cases_corporal_punishment_elem">'[1]X. Box 2 (item 4)'!$P$23</definedName>
    <definedName name="gsp_olpc_concern_cases_corporal_punishment_jhs">'[1]X. Box 2 (item 4)'!$AJ$23</definedName>
    <definedName name="gsp_olpc_concern_cases_corporal_punishment_shs">'[1]X. Box 2 (item 4)'!$BD$23</definedName>
    <definedName name="gsp_olpc_concern_cases_osaec_elem">'[1]X. Box 2 (item 4)'!$P$19</definedName>
    <definedName name="gsp_olpc_concern_cases_osaec_jhs">'[1]X. Box 2 (item 4)'!$AJ$19</definedName>
    <definedName name="gsp_olpc_concern_cases_osaec_shs">'[1]X. Box 2 (item 4)'!$BD$19</definedName>
    <definedName name="gsp_olpc_concern_cases_other_acts_elem">'[1]X. Box 2 (item 4)'!$P$25</definedName>
    <definedName name="gsp_olpc_concern_cases_other_acts_jhs">'[1]X. Box 2 (item 4)'!$AJ$25</definedName>
    <definedName name="gsp_olpc_concern_cases_other_acts_shs">'[1]X. Box 2 (item 4)'!$BD$25</definedName>
    <definedName name="gsp_olpc_concern_cases_sexual_exploitation_elem">'[1]X. Box 2 (item 4)'!$P$21</definedName>
    <definedName name="gsp_olpc_concern_cases_sexual_exploitation_jhs">'[1]X. Box 2 (item 4)'!$AJ$21</definedName>
    <definedName name="gsp_olpc_concern_cases_sexual_exploitation_shs">'[1]X. Box 2 (item 4)'!$BD$21</definedName>
    <definedName name="gsp_olpc_concern_cases_sexual_harassment_elem">'[1]X. Box 2 (item 4)'!$P$27</definedName>
    <definedName name="gsp_olpc_concern_cases_sexual_harassment_jhs">'[1]X. Box 2 (item 4)'!$AJ$27</definedName>
    <definedName name="gsp_olpc_concern_cases_sexual_harassment_shs">'[1]X. Box 2 (item 4)'!$BD$27</definedName>
    <definedName name="handling_canteen_kitchen_yes">'IX. Boxes 7 to 9'!$W$36</definedName>
    <definedName name="handling_canteen_school_healthcertificate_yes">'IX. Boxes 7 to 9'!$W$34</definedName>
    <definedName name="handling_school_canteen_managed_others_value">'IX. Boxes 7 to 9'!$M$30</definedName>
    <definedName name="handling_school_canteen_managed_school">'IX. Boxes 7 to 9'!$W$28</definedName>
    <definedName name="handling_school_canteen_managed_school_sanitarypermit_yes">'IX. Boxes 7 to 9'!$W$32</definedName>
    <definedName name="handling_school_canteen_managed_teachercoop">'IX. Boxes 7 to 9'!$W$29</definedName>
    <definedName name="head_name">'[1]School Profile'!$F$47</definedName>
    <definedName name="head_pos_title">'[1]School Profile'!$F$49</definedName>
    <definedName name="I">[1]list!$A$2:$A$15</definedName>
    <definedName name="II">[1]list!$B$2:$B$10</definedName>
    <definedName name="III">[1]list!$C$2:$C$22</definedName>
    <definedName name="implesolidwm_composting">'IX. Boxes 10 &amp; 11'!$AB$8</definedName>
    <definedName name="implesolidwm_dtcp">'IX. Boxes 10 &amp; 11'!$AB$9</definedName>
    <definedName name="implesolidwm_pmsmcon">'IX. Boxes 10 &amp; 11'!$AB$10</definedName>
    <definedName name="implesolidwm_postsign">'IX. Boxes 10 &amp; 11'!$AB$11</definedName>
    <definedName name="implesolidwm_recyclingpr">'IX. Boxes 10 &amp; 11'!$AB$12</definedName>
    <definedName name="implesolidwm_urfc">'IX. Boxes 10 &amp; 11'!$AB$16</definedName>
    <definedName name="implesolidwm_usppcip">'IX. Boxes 10 &amp; 11'!$AB$14</definedName>
    <definedName name="implesolidwm_usrmtt">'IX. Boxes 10 &amp; 11'!$AB$15</definedName>
    <definedName name="implesolidwm_wasteseg">'IX. Boxes 10 &amp; 11'!$AB$17</definedName>
    <definedName name="implesolidwmes_schrbs">'IX. Boxes 10 &amp; 11'!$AB$13</definedName>
    <definedName name="implesolidwn_stakeholder_brgy">'IX. Boxes 10 &amp; 11'!$AB$20</definedName>
    <definedName name="implesolidwn_stakeholder_commulead">'IX. Boxes 10 &amp; 11'!$AB$21</definedName>
    <definedName name="implesolidwn_stakeholder_localbusp">'IX. Boxes 10 &amp; 11'!$AB$22</definedName>
    <definedName name="implesolidwn_stakeholder_mun_city">'IX. Boxes 10 &amp; 11'!$AB$23</definedName>
    <definedName name="implesolidwn_stakeholder_parents">'IX. Boxes 10 &amp; 11'!$AB$24</definedName>
    <definedName name="IVA">[1]list!$D$2:$D$26</definedName>
    <definedName name="IX">[1]list!$J$2:$J$9</definedName>
    <definedName name="jhs_teachers_cbgs_coo_g10_f">'[1]IV. Tables 10 &amp; 11.A'!$Z$22</definedName>
    <definedName name="jhs_teachers_cbgs_coo_g10_m">'[1]IV. Tables 10 &amp; 11.A'!$T$22</definedName>
    <definedName name="jhs_teachers_cbgs_coo_g7_f">'[1]IV. Tables 10 &amp; 11.A'!$Z$19</definedName>
    <definedName name="jhs_teachers_cbgs_coo_g7_m">'[1]IV. Tables 10 &amp; 11.A'!$T$19</definedName>
    <definedName name="jhs_teachers_cbgs_coo_g8_f">'[1]IV. Tables 10 &amp; 11.A'!$Z$20</definedName>
    <definedName name="jhs_teachers_cbgs_coo_g8_m">'[1]IV. Tables 10 &amp; 11.A'!$T$20</definedName>
    <definedName name="jhs_teachers_cbgs_coo_g9_f">'[1]IV. Tables 10 &amp; 11.A'!$Z$21</definedName>
    <definedName name="jhs_teachers_cbgs_coo_g9_m">'[1]IV. Tables 10 &amp; 11.A'!$T$21</definedName>
    <definedName name="jhs_teachers_cbgs_coo_sped_f">'[1]IV. Tables 10 &amp; 11.A'!$Z$23</definedName>
    <definedName name="jhs_teachers_cbgs_coo_sped_m">'[1]IV. Tables 10 &amp; 11.A'!$T$23</definedName>
    <definedName name="lac_session_prev_sy_es">'[1]IV. Tables 19 to 21'!$Q$55</definedName>
    <definedName name="lac_session_prev_sy_jhs">'[1]IV. Tables 19 to 21'!$Y$55</definedName>
    <definedName name="lac_session_prev_sy_shs">'[1]IV. Tables 19 to 21'!$AG$55</definedName>
    <definedName name="learner_stat_bullying_casemonitor">'[1]X. Box 2 (items 5 &amp; 6)'!$X$30</definedName>
    <definedName name="learner_stat_bullying_othr_gov">'[1]X. Box 2 (items 5 &amp; 6)'!$AH$30</definedName>
    <definedName name="learner_stat_bullying_othr_nongov">'[1]X. Box 2 (items 5 &amp; 6)'!$AR$30</definedName>
    <definedName name="learner_stat_bullying_resolved">'[1]X. Box 2 (items 5 &amp; 6)'!$N$30</definedName>
    <definedName name="learner_stat_car_casemonitor">'[1]X. Box 2 (items 5 &amp; 6)'!$X$32</definedName>
    <definedName name="learner_stat_car_othr_gov">'[1]X. Box 2 (items 5 &amp; 6)'!$AH$32</definedName>
    <definedName name="learner_stat_car_othr_nongov">'[1]X. Box 2 (items 5 &amp; 6)'!$AR$32</definedName>
    <definedName name="learner_stat_child_abuse_casemonitor">'[1]X. Box 2 (items 5 &amp; 6)'!$X$31</definedName>
    <definedName name="learner_stat_child_abuse_othr_gov">'[1]X. Box 2 (items 5 &amp; 6)'!$AH$31</definedName>
    <definedName name="learner_stat_child_abuse_othr_nongov">'[1]X. Box 2 (items 5 &amp; 6)'!$AR$31</definedName>
    <definedName name="learner_stat_cicl_casemonitor">'[1]X. Box 2 (items 5 &amp; 6)'!$X$33</definedName>
    <definedName name="learner_stat_cicl_othr_gov">'[1]X. Box 2 (items 5 &amp; 6)'!$AH$33</definedName>
    <definedName name="learner_stat_cicl_othr_nongov">'[1]X. Box 2 (items 5 &amp; 6)'!$AR$33</definedName>
    <definedName name="learner_stat_othr_lrp_casemonitor">'[1]X. Box 2 (items 5 &amp; 6)'!$X$34</definedName>
    <definedName name="learner_stat_othr_lrp_othr_gov">'[1]X. Box 2 (items 5 &amp; 6)'!$AH$34</definedName>
    <definedName name="learner_stat_othr_lrp_othr_nongov">'[1]X. Box 2 (items 5 &amp; 6)'!$AR$34</definedName>
    <definedName name="learner_stat_othr_lrp_resolved">'[1]X. Box 2 (items 5 &amp; 6)'!$N$34</definedName>
    <definedName name="learners_by_spa_appliedart_f_g10">'[1]I. Tables 1 &amp; 2'!$AM$27</definedName>
    <definedName name="learners_by_spa_appliedart_f_g7">'[1]I. Tables 1 &amp; 2'!$U$27</definedName>
    <definedName name="learners_by_spa_appliedart_f_g8">'[1]I. Tables 1 &amp; 2'!$AA$27</definedName>
    <definedName name="learners_by_spa_appliedart_f_g9">'[1]I. Tables 1 &amp; 2'!$AG$27</definedName>
    <definedName name="learners_by_spa_appliedart_m_g10">'[1]I. Tables 1 &amp; 2'!$AJ$27</definedName>
    <definedName name="learners_by_spa_appliedart_m_g7">'[1]I. Tables 1 &amp; 2'!$R$27</definedName>
    <definedName name="learners_by_spa_appliedart_m_g8">'[1]I. Tables 1 &amp; 2'!$X$27</definedName>
    <definedName name="learners_by_spa_appliedart_m_g9">'[1]I. Tables 1 &amp; 2'!$AD$27</definedName>
    <definedName name="learners_by_spa_creativewriting_f_g10">'[1]I. Tables 1 &amp; 2'!$AM$24</definedName>
    <definedName name="learners_by_spa_creativewriting_f_g7">'[1]I. Tables 1 &amp; 2'!$U$24</definedName>
    <definedName name="learners_by_spa_creativewriting_f_g8">'[1]I. Tables 1 &amp; 2'!$AA$24</definedName>
    <definedName name="learners_by_spa_creativewriting_f_g9">'[1]I. Tables 1 &amp; 2'!$AG$24</definedName>
    <definedName name="learners_by_spa_creativewriting_m_g10">'[1]I. Tables 1 &amp; 2'!$AJ$24</definedName>
    <definedName name="learners_by_spa_creativewriting_m_g7">'[1]I. Tables 1 &amp; 2'!$R$24</definedName>
    <definedName name="learners_by_spa_creativewriting_m_g8">'[1]I. Tables 1 &amp; 2'!$X$24</definedName>
    <definedName name="learners_by_spa_creativewriting_m_g9">'[1]I. Tables 1 &amp; 2'!$AD$24</definedName>
    <definedName name="learners_by_spa_dance_f_g10">'[1]I. Tables 1 &amp; 2'!$AM$21</definedName>
    <definedName name="learners_by_spa_dance_f_g7">'[1]I. Tables 1 &amp; 2'!$U$21</definedName>
    <definedName name="learners_by_spa_dance_f_g8">'[1]I. Tables 1 &amp; 2'!$AA$21</definedName>
    <definedName name="learners_by_spa_dance_f_g9">'[1]I. Tables 1 &amp; 2'!$AG$21</definedName>
    <definedName name="learners_by_spa_dance_m_g10">'[1]I. Tables 1 &amp; 2'!$AJ$21</definedName>
    <definedName name="learners_by_spa_dance_m_g7">'[1]I. Tables 1 &amp; 2'!$R$21</definedName>
    <definedName name="learners_by_spa_dance_m_g8">'[1]I. Tables 1 &amp; 2'!$X$21</definedName>
    <definedName name="learners_by_spa_dance_m_g9">'[1]I. Tables 1 &amp; 2'!$AD$21</definedName>
    <definedName name="learners_by_spa_literaryarts_f_g10">'[1]I. Tables 1 &amp; 2'!$AM$23</definedName>
    <definedName name="learners_by_spa_literaryarts_f_g7">'[1]I. Tables 1 &amp; 2'!$U$23</definedName>
    <definedName name="learners_by_spa_literaryarts_f_g8">'[1]I. Tables 1 &amp; 2'!$AA$23</definedName>
    <definedName name="learners_by_spa_literaryarts_f_g9">'[1]I. Tables 1 &amp; 2'!$AG$23</definedName>
    <definedName name="learners_by_spa_literaryarts_m_g10">'[1]I. Tables 1 &amp; 2'!$AJ$23</definedName>
    <definedName name="learners_by_spa_literaryarts_m_g7">'[1]I. Tables 1 &amp; 2'!$R$23</definedName>
    <definedName name="learners_by_spa_literaryarts_m_g8">'[1]I. Tables 1 &amp; 2'!$X$23</definedName>
    <definedName name="learners_by_spa_literaryarts_m_g9">'[1]I. Tables 1 &amp; 2'!$AD$23</definedName>
    <definedName name="learners_by_spa_mediaart_f_g10">'[1]I. Tables 1 &amp; 2'!$AM$25</definedName>
    <definedName name="learners_by_spa_mediaart_f_g7">'[1]I. Tables 1 &amp; 2'!$U$25</definedName>
    <definedName name="learners_by_spa_mediaart_f_g8">'[1]I. Tables 1 &amp; 2'!$AA$25</definedName>
    <definedName name="learners_by_spa_mediaart_f_g9">'[1]I. Tables 1 &amp; 2'!$AG$25</definedName>
    <definedName name="learners_by_spa_mediaart_m_g10">'[1]I. Tables 1 &amp; 2'!$AJ$25</definedName>
    <definedName name="learners_by_spa_mediaart_m_g7">'[1]I. Tables 1 &amp; 2'!$R$25</definedName>
    <definedName name="learners_by_spa_mediaart_m_g8">'[1]I. Tables 1 &amp; 2'!$X$25</definedName>
    <definedName name="learners_by_spa_mediaart_m_g9">'[1]I. Tables 1 &amp; 2'!$AD$25</definedName>
    <definedName name="learners_by_spa_music_f_g10">'[1]I. Tables 1 &amp; 2'!$AM$20</definedName>
    <definedName name="learners_by_spa_music_f_g7">'[1]I. Tables 1 &amp; 2'!$U$20</definedName>
    <definedName name="learners_by_spa_music_f_g8">'[1]I. Tables 1 &amp; 2'!$AA$20</definedName>
    <definedName name="learners_by_spa_music_f_g9">'[1]I. Tables 1 &amp; 2'!$AG$20</definedName>
    <definedName name="learners_by_spa_music_m_g10">'[1]I. Tables 1 &amp; 2'!$AJ$20</definedName>
    <definedName name="learners_by_spa_music_m_g7">'[1]I. Tables 1 &amp; 2'!$R$20</definedName>
    <definedName name="learners_by_spa_music_m_g8">'[1]I. Tables 1 &amp; 2'!$X$20</definedName>
    <definedName name="learners_by_spa_music_m_g9">'[1]I. Tables 1 &amp; 2'!$AD$20</definedName>
    <definedName name="learners_by_spa_theaterarts_f_g10">'[1]I. Tables 1 &amp; 2'!$AM$22</definedName>
    <definedName name="learners_by_spa_theaterarts_f_g7">'[1]I. Tables 1 &amp; 2'!$U$22</definedName>
    <definedName name="learners_by_spa_theaterarts_f_g8">'[1]I. Tables 1 &amp; 2'!$AA$22</definedName>
    <definedName name="learners_by_spa_theaterarts_f_g9">'[1]I. Tables 1 &amp; 2'!$AG$22</definedName>
    <definedName name="learners_by_spa_theaterarts_m_g10">'[1]I. Tables 1 &amp; 2'!$AJ$22</definedName>
    <definedName name="learners_by_spa_theaterarts_m_g7">'[1]I. Tables 1 &amp; 2'!$R$22</definedName>
    <definedName name="learners_by_spa_theaterarts_m_g8">'[1]I. Tables 1 &amp; 2'!$X$22</definedName>
    <definedName name="learners_by_spa_theaterarts_m_g9">'[1]I. Tables 1 &amp; 2'!$AD$22</definedName>
    <definedName name="learners_by_spa_traditionalart_f_g10">'[1]I. Tables 1 &amp; 2'!$AM$28</definedName>
    <definedName name="learners_by_spa_traditionalart_f_g7">'[1]I. Tables 1 &amp; 2'!$U$28</definedName>
    <definedName name="learners_by_spa_traditionalart_f_g8">'[1]I. Tables 1 &amp; 2'!$AA$28</definedName>
    <definedName name="learners_by_spa_traditionalart_f_g9">'[1]I. Tables 1 &amp; 2'!$AG$28</definedName>
    <definedName name="learners_by_spa_traditionalart_m_g10">'[1]I. Tables 1 &amp; 2'!$AJ$28</definedName>
    <definedName name="learners_by_spa_traditionalart_m_g7">'[1]I. Tables 1 &amp; 2'!$R$28</definedName>
    <definedName name="learners_by_spa_traditionalart_m_g8">'[1]I. Tables 1 &amp; 2'!$X$28</definedName>
    <definedName name="learners_by_spa_traditionalart_m_g9">'[1]I. Tables 1 &amp; 2'!$AD$28</definedName>
    <definedName name="learners_by_spa_visualart_f_g10">'[1]I. Tables 1 &amp; 2'!$AM$26</definedName>
    <definedName name="learners_by_spa_visualart_f_g7">'[1]I. Tables 1 &amp; 2'!$U$26</definedName>
    <definedName name="learners_by_spa_visualart_f_g8">'[1]I. Tables 1 &amp; 2'!$AA$26</definedName>
    <definedName name="learners_by_spa_visualart_f_g9">'[1]I. Tables 1 &amp; 2'!$AG$26</definedName>
    <definedName name="learners_by_spa_visualart_m_g10">'[1]I. Tables 1 &amp; 2'!$AJ$26</definedName>
    <definedName name="learners_by_spa_visualart_m_g7">'[1]I. Tables 1 &amp; 2'!$R$26</definedName>
    <definedName name="learners_by_spa_visualart_m_g8">'[1]I. Tables 1 &amp; 2'!$X$26</definedName>
    <definedName name="learners_by_spa_visualart_m_g9">'[1]I. Tables 1 &amp; 2'!$AD$26</definedName>
    <definedName name="learners_by_spfl_chn_f_g10">'[1]I. Tables 1 &amp; 2'!$AM$30</definedName>
    <definedName name="learners_by_spfl_chn_f_g7">'[1]I. Tables 1 &amp; 2'!$U$30</definedName>
    <definedName name="learners_by_spfl_chn_f_g8">'[1]I. Tables 1 &amp; 2'!$AA$30</definedName>
    <definedName name="learners_by_spfl_chn_f_g9">'[1]I. Tables 1 &amp; 2'!$AG$30</definedName>
    <definedName name="learners_by_spfl_chn_m_g10">'[1]I. Tables 1 &amp; 2'!$AJ$30</definedName>
    <definedName name="learners_by_spfl_chn_m_g7">'[1]I. Tables 1 &amp; 2'!$R$30</definedName>
    <definedName name="learners_by_spfl_chn_m_g8">'[1]I. Tables 1 &amp; 2'!$X$30</definedName>
    <definedName name="learners_by_spfl_chn_m_g9">'[1]I. Tables 1 &amp; 2'!$AD$30</definedName>
    <definedName name="learners_by_spfl_fre_f_g10">'[1]I. Tables 1 &amp; 2'!$AM$31</definedName>
    <definedName name="learners_by_spfl_fre_f_g7">'[1]I. Tables 1 &amp; 2'!$U$31</definedName>
    <definedName name="learners_by_spfl_fre_f_g8">'[1]I. Tables 1 &amp; 2'!$AA$31</definedName>
    <definedName name="learners_by_spfl_fre_f_g9">'[1]I. Tables 1 &amp; 2'!$AG$31</definedName>
    <definedName name="learners_by_spfl_fre_m_g10">'[1]I. Tables 1 &amp; 2'!$AJ$31</definedName>
    <definedName name="learners_by_spfl_fre_m_g7">'[1]I. Tables 1 &amp; 2'!$R$31</definedName>
    <definedName name="learners_by_spfl_fre_m_g8">'[1]I. Tables 1 &amp; 2'!$X$31</definedName>
    <definedName name="learners_by_spfl_fre_m_g9">'[1]I. Tables 1 &amp; 2'!$AD$31</definedName>
    <definedName name="learners_by_spfl_ger_f_g10">'[1]I. Tables 1 &amp; 2'!$AM$32</definedName>
    <definedName name="learners_by_spfl_ger_f_g7">'[1]I. Tables 1 &amp; 2'!$U$32</definedName>
    <definedName name="learners_by_spfl_ger_f_g8">'[1]I. Tables 1 &amp; 2'!$AA$32</definedName>
    <definedName name="learners_by_spfl_ger_f_g9">'[1]I. Tables 1 &amp; 2'!$AG$32</definedName>
    <definedName name="learners_by_spfl_ger_m_g10">'[1]I. Tables 1 &amp; 2'!$AJ$32</definedName>
    <definedName name="learners_by_spfl_ger_m_g7">'[1]I. Tables 1 &amp; 2'!$R$32</definedName>
    <definedName name="learners_by_spfl_ger_m_g8">'[1]I. Tables 1 &amp; 2'!$X$32</definedName>
    <definedName name="learners_by_spfl_ger_m_g9">'[1]I. Tables 1 &amp; 2'!$AD$32</definedName>
    <definedName name="learners_by_spfl_jap_f_g10">'[1]I. Tables 1 &amp; 2'!$AM$33</definedName>
    <definedName name="learners_by_spfl_jap_f_g7">'[1]I. Tables 1 &amp; 2'!$U$33</definedName>
    <definedName name="learners_by_spfl_jap_f_g8">'[1]I. Tables 1 &amp; 2'!$AA$33</definedName>
    <definedName name="learners_by_spfl_jap_f_g9">'[1]I. Tables 1 &amp; 2'!$AG$33</definedName>
    <definedName name="learners_by_spfl_jap_m_g10">'[1]I. Tables 1 &amp; 2'!$AJ$33</definedName>
    <definedName name="learners_by_spfl_jap_m_g7">'[1]I. Tables 1 &amp; 2'!$R$33</definedName>
    <definedName name="learners_by_spfl_jap_m_g8">'[1]I. Tables 1 &amp; 2'!$X$33</definedName>
    <definedName name="learners_by_spfl_jap_m_g9">'[1]I. Tables 1 &amp; 2'!$AD$33</definedName>
    <definedName name="learners_by_spfl_kor_f_g10">'[1]I. Tables 1 &amp; 2'!$AM$34</definedName>
    <definedName name="learners_by_spfl_kor_f_g7">'[1]I. Tables 1 &amp; 2'!$U$34</definedName>
    <definedName name="learners_by_spfl_kor_f_g8">'[1]I. Tables 1 &amp; 2'!$AA$34</definedName>
    <definedName name="learners_by_spfl_kor_f_g9">'[1]I. Tables 1 &amp; 2'!$AG$34</definedName>
    <definedName name="learners_by_spfl_kor_m_g10">'[1]I. Tables 1 &amp; 2'!$AJ$34</definedName>
    <definedName name="learners_by_spfl_kor_m_g7">'[1]I. Tables 1 &amp; 2'!$R$34</definedName>
    <definedName name="learners_by_spfl_kor_m_g8">'[1]I. Tables 1 &amp; 2'!$X$34</definedName>
    <definedName name="learners_by_spfl_kor_m_g9">'[1]I. Tables 1 &amp; 2'!$AD$34</definedName>
    <definedName name="learners_by_spfl_spa_f_g10">'[1]I. Tables 1 &amp; 2'!$AM$35</definedName>
    <definedName name="learners_by_spfl_spa_f_g7">'[1]I. Tables 1 &amp; 2'!$U$35</definedName>
    <definedName name="learners_by_spfl_spa_f_g8">'[1]I. Tables 1 &amp; 2'!$AA$35</definedName>
    <definedName name="learners_by_spfl_spa_f_g9">'[1]I. Tables 1 &amp; 2'!$AG$35</definedName>
    <definedName name="learners_by_spfl_spa_m_g10">'[1]I. Tables 1 &amp; 2'!$AJ$35</definedName>
    <definedName name="learners_by_spfl_spa_m_g7">'[1]I. Tables 1 &amp; 2'!$R$35</definedName>
    <definedName name="learners_by_spfl_spa_m_g8">'[1]I. Tables 1 &amp; 2'!$X$35</definedName>
    <definedName name="learners_by_spfl_spa_m_g9">'[1]I. Tables 1 &amp; 2'!$AD$35</definedName>
    <definedName name="learners_by_spje_f_g10">'[1]I. Tables 1 &amp; 2'!$AM$38</definedName>
    <definedName name="learners_by_spje_f_g7">'[1]I. Tables 1 &amp; 2'!$U$38</definedName>
    <definedName name="learners_by_spje_f_g8">'[1]I. Tables 1 &amp; 2'!$AA$38</definedName>
    <definedName name="learners_by_spje_f_g9">'[1]I. Tables 1 &amp; 2'!$AG$38</definedName>
    <definedName name="learners_by_spje_m_g10">'[1]I. Tables 1 &amp; 2'!$AJ$38</definedName>
    <definedName name="learners_by_spje_m_g7">'[1]I. Tables 1 &amp; 2'!$R$38</definedName>
    <definedName name="learners_by_spje_m_g8">'[1]I. Tables 1 &amp; 2'!$X$38</definedName>
    <definedName name="learners_by_spje_m_g9">'[1]I. Tables 1 &amp; 2'!$AD$38</definedName>
    <definedName name="learners_by_spjf_f_g10">'[1]I. Tables 1 &amp; 2'!$AM$37</definedName>
    <definedName name="learners_by_spjf_f_g7">'[1]I. Tables 1 &amp; 2'!$U$37</definedName>
    <definedName name="learners_by_spjf_f_g8">'[1]I. Tables 1 &amp; 2'!$AA$37</definedName>
    <definedName name="learners_by_spjf_f_g9">'[1]I. Tables 1 &amp; 2'!$AG$37</definedName>
    <definedName name="learners_by_spjf_m_g10">'[1]I. Tables 1 &amp; 2'!$AJ$37</definedName>
    <definedName name="learners_by_spjf_m_g7">'[1]I. Tables 1 &amp; 2'!$R$37</definedName>
    <definedName name="learners_by_spjf_m_g8">'[1]I. Tables 1 &amp; 2'!$X$37</definedName>
    <definedName name="learners_by_spjf_m_g9">'[1]I. Tables 1 &amp; 2'!$AD$37</definedName>
    <definedName name="learners_by_sps_ds_f_g10">'[1]I. Tables 1 &amp; 2'!$AM$45</definedName>
    <definedName name="learners_by_sps_ds_f_g7">'[1]I. Tables 1 &amp; 2'!$U$45</definedName>
    <definedName name="learners_by_sps_ds_f_g8">'[1]I. Tables 1 &amp; 2'!$AA$45</definedName>
    <definedName name="learners_by_sps_ds_f_g9">'[1]I. Tables 1 &amp; 2'!$AG$45</definedName>
    <definedName name="learners_by_sps_ds_m_g10">'[1]I. Tables 1 &amp; 2'!$AJ$45</definedName>
    <definedName name="learners_by_sps_ds_m_g7">'[1]I. Tables 1 &amp; 2'!$R$45</definedName>
    <definedName name="learners_by_sps_ds_m_g8">'[1]I. Tables 1 &amp; 2'!$X$45</definedName>
    <definedName name="learners_by_sps_ds_m_g9">'[1]I. Tables 1 &amp; 2'!$AD$45</definedName>
    <definedName name="learners_by_sps_is_f_g10">'[1]I. Tables 1 &amp; 2'!$AM$44</definedName>
    <definedName name="learners_by_sps_is_f_g7">'[1]I. Tables 1 &amp; 2'!$U$44</definedName>
    <definedName name="learners_by_sps_is_f_g8">'[1]I. Tables 1 &amp; 2'!$AA$44</definedName>
    <definedName name="learners_by_sps_is_f_g9">'[1]I. Tables 1 &amp; 2'!$AG$44</definedName>
    <definedName name="learners_by_sps_is_m_g10">'[1]I. Tables 1 &amp; 2'!$AJ$44</definedName>
    <definedName name="learners_by_sps_is_m_g7">'[1]I. Tables 1 &amp; 2'!$R$44</definedName>
    <definedName name="learners_by_sps_is_m_g8">'[1]I. Tables 1 &amp; 2'!$X$44</definedName>
    <definedName name="learners_by_sps_is_m_g9">'[1]I. Tables 1 &amp; 2'!$AD$44</definedName>
    <definedName name="learners_by_sps_ts_f_g10">'[1]I. Tables 1 &amp; 2'!$AM$46</definedName>
    <definedName name="learners_by_sps_ts_f_g7">'[1]I. Tables 1 &amp; 2'!$U$46</definedName>
    <definedName name="learners_by_sps_ts_f_g8">'[1]I. Tables 1 &amp; 2'!$AA$46</definedName>
    <definedName name="learners_by_sps_ts_f_g9">'[1]I. Tables 1 &amp; 2'!$AG$46</definedName>
    <definedName name="learners_by_sps_ts_m_g10">'[1]I. Tables 1 &amp; 2'!$AJ$46</definedName>
    <definedName name="learners_by_sps_ts_m_g7">'[1]I. Tables 1 &amp; 2'!$R$46</definedName>
    <definedName name="learners_by_sps_ts_m_g8">'[1]I. Tables 1 &amp; 2'!$X$46</definedName>
    <definedName name="learners_by_sps_ts_m_g9">'[1]I. Tables 1 &amp; 2'!$AD$46</definedName>
    <definedName name="learners_by_spstem_lshs_f_g10">'[1]I. Tables 1 &amp; 2'!$AM$41</definedName>
    <definedName name="learners_by_spstem_lshs_f_g7">'[1]I. Tables 1 &amp; 2'!$U$41</definedName>
    <definedName name="learners_by_spstem_lshs_f_g8">'[1]I. Tables 1 &amp; 2'!$AA$41</definedName>
    <definedName name="learners_by_spstem_lshs_f_g9">'[1]I. Tables 1 &amp; 2'!$AG$41</definedName>
    <definedName name="learners_by_spstem_lshs_m_g10">'[1]I. Tables 1 &amp; 2'!$AJ$41</definedName>
    <definedName name="learners_by_spstem_lshs_m_g7">'[1]I. Tables 1 &amp; 2'!$R$41</definedName>
    <definedName name="learners_by_spstem_lshs_m_g8">'[1]I. Tables 1 &amp; 2'!$X$41</definedName>
    <definedName name="learners_by_spstem_lshs_m_g9">'[1]I. Tables 1 &amp; 2'!$AD$41</definedName>
    <definedName name="learners_by_spstem_rshs_f_g10">'[1]I. Tables 1 &amp; 2'!$AM$42</definedName>
    <definedName name="learners_by_spstem_rshs_f_g7">'[1]I. Tables 1 &amp; 2'!$U$42</definedName>
    <definedName name="learners_by_spstem_rshs_f_g8">'[1]I. Tables 1 &amp; 2'!$AA$42</definedName>
    <definedName name="learners_by_spstem_rshs_f_g9">'[1]I. Tables 1 &amp; 2'!$AG$42</definedName>
    <definedName name="learners_by_spstem_rshs_m_g10">'[1]I. Tables 1 &amp; 2'!$AJ$42</definedName>
    <definedName name="learners_by_spstem_rshs_m_g7">'[1]I. Tables 1 &amp; 2'!$R$42</definedName>
    <definedName name="learners_by_spstem_rshs_m_g8">'[1]I. Tables 1 &amp; 2'!$X$42</definedName>
    <definedName name="learners_by_spstem_rshs_m_g9">'[1]I. Tables 1 &amp; 2'!$AD$42</definedName>
    <definedName name="learners_by_spstem_ste_f_g10">'[1]I. Tables 1 &amp; 2'!$AM$40</definedName>
    <definedName name="learners_by_spstem_ste_f_g7">'[1]I. Tables 1 &amp; 2'!$U$40</definedName>
    <definedName name="learners_by_spstem_ste_f_g8">'[1]I. Tables 1 &amp; 2'!$AA$40</definedName>
    <definedName name="learners_by_spstem_ste_f_g9">'[1]I. Tables 1 &amp; 2'!$AG$40</definedName>
    <definedName name="learners_by_spstem_ste_m_g10">'[1]I. Tables 1 &amp; 2'!$AJ$40</definedName>
    <definedName name="learners_by_spstem_ste_m_g7">'[1]I. Tables 1 &amp; 2'!$R$40</definedName>
    <definedName name="learners_by_spstem_ste_m_g8">'[1]I. Tables 1 &amp; 2'!$X$40</definedName>
    <definedName name="learners_by_spstem_ste_m_g9">'[1]I. Tables 1 &amp; 2'!$AD$40</definedName>
    <definedName name="learners_participated_iec_codevelop_exclude_f">'[1]XII. Box 4 (Part 2)'!$AA$31</definedName>
    <definedName name="learners_participated_iec_codevelop_exclude_m">'[1]XII. Box 4 (Part 2)'!$X$31</definedName>
    <definedName name="learners_participated_iec_codevelop_ip_f">'[1]XII. Box 4 (Part 2)'!$AG$31</definedName>
    <definedName name="learners_participated_iec_codevelop_ip_m">'[1]XII. Box 4 (Part 2)'!$AD$31</definedName>
    <definedName name="learners_participated_iec_codevelop_lwd_f">'[1]XII. Box 4 (Part 2)'!$AS$31</definedName>
    <definedName name="learners_participated_iec_codevelop_lwd_m">'[1]XII. Box 4 (Part 2)'!$AP$31</definedName>
    <definedName name="learners_participated_iec_codevelop_muslim_f">'[1]XII. Box 4 (Part 2)'!$AM$31</definedName>
    <definedName name="learners_participated_iec_codevelop_muslim_m">'[1]XII. Box 4 (Part 2)'!$AJ$31</definedName>
    <definedName name="learners_participated_iec_consulted_exclude_f">'[1]XII. Box 4 (Part 2)'!$AA$29</definedName>
    <definedName name="learners_participated_iec_consulted_exclude_m">'[1]XII. Box 4 (Part 2)'!$X$29</definedName>
    <definedName name="learners_participated_iec_consulted_ip_f">'[1]XII. Box 4 (Part 2)'!$AG$29</definedName>
    <definedName name="learners_participated_iec_consulted_ip_m">'[1]XII. Box 4 (Part 2)'!$AD$29</definedName>
    <definedName name="learners_participated_iec_consulted_lwd_f">'[1]XII. Box 4 (Part 2)'!$AS$29</definedName>
    <definedName name="learners_participated_iec_consulted_lwd_m">'[1]XII. Box 4 (Part 2)'!$AP$29</definedName>
    <definedName name="learners_participated_iec_consulted_muslim_f">'[1]XII. Box 4 (Part 2)'!$AM$29</definedName>
    <definedName name="learners_participated_iec_consulted_muslim_m">'[1]XII. Box 4 (Part 2)'!$AJ$29</definedName>
    <definedName name="learners_participated_iec_effectiveness_exclude_f">'[1]XII. Box 4 (Part 2)'!$AA$27</definedName>
    <definedName name="learners_participated_iec_effectiveness_exclude_m">'[1]XII. Box 4 (Part 2)'!$X$27</definedName>
    <definedName name="learners_participated_iec_effectiveness_ip_f">'[1]XII. Box 4 (Part 2)'!$AG$27</definedName>
    <definedName name="learners_participated_iec_effectiveness_ip_m">'[1]XII. Box 4 (Part 2)'!$AD$27</definedName>
    <definedName name="learners_participated_iec_effectiveness_lwd_f">'[1]XII. Box 4 (Part 2)'!$AS$27</definedName>
    <definedName name="learners_participated_iec_effectiveness_lwd_m">'[1]XII. Box 4 (Part 2)'!$AP$27</definedName>
    <definedName name="learners_participated_iec_effectiveness_muslim_f">'[1]XII. Box 4 (Part 2)'!$AM$27</definedName>
    <definedName name="learners_participated_iec_effectiveness_muslim_m">'[1]XII. Box 4 (Part 2)'!$AJ$27</definedName>
    <definedName name="learners_participated_iec_initiated_exclude_f">'[1]XII. Box 4 (Part 2)'!$AA$33</definedName>
    <definedName name="learners_participated_iec_initiated_exclude_m">'[1]XII. Box 4 (Part 2)'!$X$33</definedName>
    <definedName name="learners_participated_iec_initiated_ip_f">'[1]XII. Box 4 (Part 2)'!$AG$33</definedName>
    <definedName name="learners_participated_iec_initiated_ip_m">'[1]XII. Box 4 (Part 2)'!$AD$33</definedName>
    <definedName name="learners_participated_iec_initiated_lwd_f">'[1]XII. Box 4 (Part 2)'!$AS$33</definedName>
    <definedName name="learners_participated_iec_initiated_lwd_m">'[1]XII. Box 4 (Part 2)'!$AP$33</definedName>
    <definedName name="learners_participated_iec_initiated_muslim_f">'[1]XII. Box 4 (Part 2)'!$AM$33</definedName>
    <definedName name="learners_participated_iec_initiated_muslim_m">'[1]XII. Box 4 (Part 2)'!$AJ$33</definedName>
    <definedName name="learners_spfl_dele_passer_f_g10">'[1]I. Tables 7 &amp; 8'!$BV$14</definedName>
    <definedName name="learners_spfl_dele_passer_f_g7">'[1]I. Tables 7 &amp; 8'!$BD$14</definedName>
    <definedName name="learners_spfl_dele_passer_f_g8">'[1]I. Tables 7 &amp; 8'!$BJ$14</definedName>
    <definedName name="learners_spfl_dele_passer_f_g9">'[1]I. Tables 7 &amp; 8'!$BP$14</definedName>
    <definedName name="learners_spfl_dele_passer_m_g10">'[1]I. Tables 7 &amp; 8'!$BS$14</definedName>
    <definedName name="learners_spfl_dele_passer_m_g7">'[1]I. Tables 7 &amp; 8'!$BA$14</definedName>
    <definedName name="learners_spfl_dele_passer_m_g8">'[1]I. Tables 7 &amp; 8'!$BG$14</definedName>
    <definedName name="learners_spfl_dele_passer_m_g9">'[1]I. Tables 7 &amp; 8'!$BM$14</definedName>
    <definedName name="learners_spfl_dele_takers_f_g10">'[1]I. Tables 7 &amp; 8'!$AR$14</definedName>
    <definedName name="learners_spfl_dele_takers_f_g7">'[1]I. Tables 7 &amp; 8'!$Z$14</definedName>
    <definedName name="learners_spfl_dele_takers_f_g8">'[1]I. Tables 7 &amp; 8'!$AF$14</definedName>
    <definedName name="learners_spfl_dele_takers_f_g9">'[1]I. Tables 7 &amp; 8'!$AL$14</definedName>
    <definedName name="learners_spfl_dele_takers_m_g10">'[1]I. Tables 7 &amp; 8'!$AO$14</definedName>
    <definedName name="learners_spfl_dele_takers_m_g7">'[1]I. Tables 7 &amp; 8'!$W$14</definedName>
    <definedName name="learners_spfl_dele_takers_m_g8">'[1]I. Tables 7 &amp; 8'!$AC$14</definedName>
    <definedName name="learners_spfl_dele_takers_m_g9">'[1]I. Tables 7 &amp; 8'!$AI$14</definedName>
    <definedName name="learners_spfl_delf_passer_f_g10">'[1]I. Tables 7 &amp; 8'!$BV$10</definedName>
    <definedName name="learners_spfl_delf_passer_f_g7">'[1]I. Tables 7 &amp; 8'!$BD$10</definedName>
    <definedName name="learners_spfl_delf_passer_f_g8">'[1]I. Tables 7 &amp; 8'!$BJ$10</definedName>
    <definedName name="learners_spfl_delf_passer_f_g9">'[1]I. Tables 7 &amp; 8'!$BP$10</definedName>
    <definedName name="learners_spfl_delf_passer_m_g10">'[1]I. Tables 7 &amp; 8'!$BS$10</definedName>
    <definedName name="learners_spfl_delf_passer_m_g7">'[1]I. Tables 7 &amp; 8'!$BA$10</definedName>
    <definedName name="learners_spfl_delf_passer_m_g8">'[1]I. Tables 7 &amp; 8'!$BG$10</definedName>
    <definedName name="learners_spfl_delf_passer_m_g9">'[1]I. Tables 7 &amp; 8'!$BM$10</definedName>
    <definedName name="learners_spfl_delf_takers_f_g10">'[1]I. Tables 7 &amp; 8'!$AR$10</definedName>
    <definedName name="learners_spfl_delf_takers_f_g7">'[1]I. Tables 7 &amp; 8'!$Z$10</definedName>
    <definedName name="learners_spfl_delf_takers_f_g8">'[1]I. Tables 7 &amp; 8'!$AF$10</definedName>
    <definedName name="learners_spfl_delf_takers_f_g9">'[1]I. Tables 7 &amp; 8'!$AL$10</definedName>
    <definedName name="learners_spfl_delf_takers_m_g10">'[1]I. Tables 7 &amp; 8'!$AO$10</definedName>
    <definedName name="learners_spfl_delf_takers_m_g7">'[1]I. Tables 7 &amp; 8'!$W$10</definedName>
    <definedName name="learners_spfl_delf_takers_m_g8">'[1]I. Tables 7 &amp; 8'!$AC$10</definedName>
    <definedName name="learners_spfl_delf_takers_m_g9">'[1]I. Tables 7 &amp; 8'!$AI$10</definedName>
    <definedName name="learners_spfl_jlpt_passer_f_g10">'[1]I. Tables 7 &amp; 8'!$BV$12</definedName>
    <definedName name="learners_spfl_jlpt_passer_f_g7">'[1]I. Tables 7 &amp; 8'!$BD$12</definedName>
    <definedName name="learners_spfl_jlpt_passer_f_g8">'[1]I. Tables 7 &amp; 8'!$BJ$12</definedName>
    <definedName name="learners_spfl_jlpt_passer_f_g9">'[1]I. Tables 7 &amp; 8'!$BP$12</definedName>
    <definedName name="learners_spfl_jlpt_passer_m_g10">'[1]I. Tables 7 &amp; 8'!$BS$12</definedName>
    <definedName name="learners_spfl_jlpt_passer_m_g7">'[1]I. Tables 7 &amp; 8'!$BA$12</definedName>
    <definedName name="learners_spfl_jlpt_passer_m_g8">'[1]I. Tables 7 &amp; 8'!$BG$12</definedName>
    <definedName name="learners_spfl_jlpt_passer_m_g9">'[1]I. Tables 7 &amp; 8'!$BM$12</definedName>
    <definedName name="learners_spfl_jlpt_takers_f_g10">'[1]I. Tables 7 &amp; 8'!$AR$12</definedName>
    <definedName name="learners_spfl_jlpt_takers_f_g7">'[1]I. Tables 7 &amp; 8'!$Z$12</definedName>
    <definedName name="learners_spfl_jlpt_takers_f_g8">'[1]I. Tables 7 &amp; 8'!$AF$12</definedName>
    <definedName name="learners_spfl_jlpt_takers_f_g9">'[1]I. Tables 7 &amp; 8'!$AL$12</definedName>
    <definedName name="learners_spfl_jlpt_takers_m_g10">'[1]I. Tables 7 &amp; 8'!$AO$12</definedName>
    <definedName name="learners_spfl_jlpt_takers_m_g7">'[1]I. Tables 7 &amp; 8'!$W$12</definedName>
    <definedName name="learners_spfl_jlpt_takers_m_g8">'[1]I. Tables 7 &amp; 8'!$AC$12</definedName>
    <definedName name="learners_spfl_jlpt_takers_m_g9">'[1]I. Tables 7 &amp; 8'!$AI$12</definedName>
    <definedName name="learners_spfl_topik_passer_f_g10">'[1]I. Tables 7 &amp; 8'!$BV$13</definedName>
    <definedName name="learners_spfl_topik_passer_f_g7">'[1]I. Tables 7 &amp; 8'!$BD$13</definedName>
    <definedName name="learners_spfl_topik_passer_f_g8">'[1]I. Tables 7 &amp; 8'!$BJ$13</definedName>
    <definedName name="learners_spfl_topik_passer_f_g9">'[1]I. Tables 7 &amp; 8'!$BP$13</definedName>
    <definedName name="learners_spfl_topik_passer_m_g10">'[1]I. Tables 7 &amp; 8'!$BS$13</definedName>
    <definedName name="learners_spfl_topik_passer_m_g7">'[1]I. Tables 7 &amp; 8'!$BA$13</definedName>
    <definedName name="learners_spfl_topik_passer_m_g8">'[1]I. Tables 7 &amp; 8'!$BG$13</definedName>
    <definedName name="learners_spfl_topik_passer_m_g9">'[1]I. Tables 7 &amp; 8'!$BM$13</definedName>
    <definedName name="learners_spfl_topik_takers_f_g10">'[1]I. Tables 7 &amp; 8'!$AR$13</definedName>
    <definedName name="learners_spfl_topik_takers_f_g7">'[1]I. Tables 7 &amp; 8'!$Z$13</definedName>
    <definedName name="learners_spfl_topik_takers_f_g8">'[1]I. Tables 7 &amp; 8'!$AF$13</definedName>
    <definedName name="learners_spfl_topik_takers_f_g9">'[1]I. Tables 7 &amp; 8'!$AL$13</definedName>
    <definedName name="learners_spfl_topik_takers_m_g10">'[1]I. Tables 7 &amp; 8'!$AO$13</definedName>
    <definedName name="learners_spfl_topik_takers_m_g7">'[1]I. Tables 7 &amp; 8'!$W$13</definedName>
    <definedName name="learners_spfl_topik_takers_m_g8">'[1]I. Tables 7 &amp; 8'!$AC$13</definedName>
    <definedName name="learners_spfl_topik_takers_m_g9">'[1]I. Tables 7 &amp; 8'!$AI$13</definedName>
    <definedName name="learners_spfl_yct_passer_f_g10">'[1]I. Tables 7 &amp; 8'!$BV$9</definedName>
    <definedName name="learners_spfl_yct_passer_f_g7">'[1]I. Tables 7 &amp; 8'!$BD$9</definedName>
    <definedName name="learners_spfl_yct_passer_f_g8">'[1]I. Tables 7 &amp; 8'!$BJ$9</definedName>
    <definedName name="learners_spfl_yct_passer_f_g9">'[1]I. Tables 7 &amp; 8'!$BP$9</definedName>
    <definedName name="learners_spfl_yct_passer_m_g10">'[1]I. Tables 7 &amp; 8'!$BS$9</definedName>
    <definedName name="learners_spfl_yct_passer_m_g7">'[1]I. Tables 7 &amp; 8'!$BA$9</definedName>
    <definedName name="learners_spfl_yct_passer_m_g8">'[1]I. Tables 7 &amp; 8'!$BG$9</definedName>
    <definedName name="learners_spfl_yct_passer_m_g9">'[1]I. Tables 7 &amp; 8'!$BM$9</definedName>
    <definedName name="learners_spfl_yct_takers_f_g10">'[1]I. Tables 7 &amp; 8'!$AR$9</definedName>
    <definedName name="learners_spfl_yct_takers_f_g7">'[1]I. Tables 7 &amp; 8'!$Z$9</definedName>
    <definedName name="learners_spfl_yct_takers_f_g8">'[1]I. Tables 7 &amp; 8'!$AF$9</definedName>
    <definedName name="learners_spfl_yct_takers_f_g9">'[1]I. Tables 7 &amp; 8'!$AL$9</definedName>
    <definedName name="learners_spfl_yct_takers_m_g10">'[1]I. Tables 7 &amp; 8'!$AO$9</definedName>
    <definedName name="learners_spfl_yct_takers_m_g7">'[1]I. Tables 7 &amp; 8'!$W$9</definedName>
    <definedName name="learners_spfl_yct_takers_m_g8">'[1]I. Tables 7 &amp; 8'!$AC$9</definedName>
    <definedName name="learners_spfl_yct_takers_m_g9">'[1]I. Tables 7 &amp; 8'!$AI$9</definedName>
    <definedName name="learners_spfl_zd_passer_f_g10">'[1]I. Tables 7 &amp; 8'!$BV$11</definedName>
    <definedName name="learners_spfl_zd_passer_f_g7">'[1]I. Tables 7 &amp; 8'!$BD$11</definedName>
    <definedName name="learners_spfl_zd_passer_f_g8">'[1]I. Tables 7 &amp; 8'!$BJ$11</definedName>
    <definedName name="learners_spfl_zd_passer_f_g9">'[1]I. Tables 7 &amp; 8'!$BP$11</definedName>
    <definedName name="learners_spfl_zd_passer_m_g10">'[1]I. Tables 7 &amp; 8'!$BS$11</definedName>
    <definedName name="learners_spfl_zd_passer_m_g7">'[1]I. Tables 7 &amp; 8'!$BA$11</definedName>
    <definedName name="learners_spfl_zd_passer_m_g8">'[1]I. Tables 7 &amp; 8'!$BG$11</definedName>
    <definedName name="learners_spfl_zd_passer_m_g9">'[1]I. Tables 7 &amp; 8'!$BM$11</definedName>
    <definedName name="learners_spfl_zd_takers_f_g10">'[1]I. Tables 7 &amp; 8'!$AR$11</definedName>
    <definedName name="learners_spfl_zd_takers_f_g7">'[1]I. Tables 7 &amp; 8'!$Z$11</definedName>
    <definedName name="learners_spfl_zd_takers_f_g8">'[1]I. Tables 7 &amp; 8'!$AF$11</definedName>
    <definedName name="learners_spfl_zd_takers_f_g9">'[1]I. Tables 7 &amp; 8'!$AL$11</definedName>
    <definedName name="learners_spfl_zd_takers_m_g10">'[1]I. Tables 7 &amp; 8'!$AO$11</definedName>
    <definedName name="learners_spfl_zd_takers_m_g7">'[1]I. Tables 7 &amp; 8'!$W$11</definedName>
    <definedName name="learners_spfl_zd_takers_m_g8">'[1]I. Tables 7 &amp; 8'!$AC$11</definedName>
    <definedName name="learners_spfl_zd_takers_m_g9">'[1]I. Tables 7 &amp; 8'!$AI$11</definedName>
    <definedName name="learners_sptve_agricorptech_f_g10">'[1]I. Tables 3 &amp; 4'!$AK$43</definedName>
    <definedName name="learners_sptve_agricorptech_f_g7">'[1]I. Tables 3 &amp; 4'!$S$43</definedName>
    <definedName name="learners_sptve_agricorptech_f_g8">'[1]I. Tables 3 &amp; 4'!$Y$43</definedName>
    <definedName name="learners_sptve_agricorptech_f_g9">'[1]I. Tables 3 &amp; 4'!$AE$43</definedName>
    <definedName name="learners_sptve_agricorptech_m_g10">'[1]I. Tables 3 &amp; 4'!$AH$43</definedName>
    <definedName name="learners_sptve_agricorptech_m_g7">'[1]I. Tables 3 &amp; 4'!$P$43</definedName>
    <definedName name="learners_sptve_agricorptech_m_g8">'[1]I. Tables 3 &amp; 4'!$V$43</definedName>
    <definedName name="learners_sptve_agricorptech_m_g9">'[1]I. Tables 3 &amp; 4'!$AB$43</definedName>
    <definedName name="learners_sptve_aircontech_f_g10">'[1]I. Tables 3 &amp; 4'!$AK$32</definedName>
    <definedName name="learners_sptve_aircontech_f_g7">'[1]I. Tables 3 &amp; 4'!$S$32</definedName>
    <definedName name="learners_sptve_aircontech_f_g8">'[1]I. Tables 3 &amp; 4'!$Y$32</definedName>
    <definedName name="learners_sptve_aircontech_f_g9">'[1]I. Tables 3 &amp; 4'!$AE$32</definedName>
    <definedName name="learners_sptve_aircontech_m_g10">'[1]I. Tables 3 &amp; 4'!$AH$32</definedName>
    <definedName name="learners_sptve_aircontech_m_g7">'[1]I. Tables 3 &amp; 4'!$P$32</definedName>
    <definedName name="learners_sptve_aircontech_m_g8">'[1]I. Tables 3 &amp; 4'!$V$32</definedName>
    <definedName name="learners_sptve_aircontech_m_g9">'[1]I. Tables 3 &amp; 4'!$AB$32</definedName>
    <definedName name="learners_sptve_aniprodtech_f_g10">'[1]I. Tables 3 &amp; 4'!$AK$44</definedName>
    <definedName name="learners_sptve_aniprodtech_f_g7">'[1]I. Tables 3 &amp; 4'!$S$44</definedName>
    <definedName name="learners_sptve_aniprodtech_f_g8">'[1]I. Tables 3 &amp; 4'!$Y$44</definedName>
    <definedName name="learners_sptve_aniprodtech_f_g9">'[1]I. Tables 3 &amp; 4'!$AE$44</definedName>
    <definedName name="learners_sptve_aniprodtech_m_g10">'[1]I. Tables 3 &amp; 4'!$AH$44</definedName>
    <definedName name="learners_sptve_aniprodtech_m_g7">'[1]I. Tables 3 &amp; 4'!$P$44</definedName>
    <definedName name="learners_sptve_aniprodtech_m_g8">'[1]I. Tables 3 &amp; 4'!$V$44</definedName>
    <definedName name="learners_sptve_aniprodtech_m_g9">'[1]I. Tables 3 &amp; 4'!$AB$44</definedName>
    <definedName name="learners_sptve_autotech_f_g10">'[1]I. Tables 3 &amp; 4'!$AK$37</definedName>
    <definedName name="learners_sptve_autotech_f_g7">'[1]I. Tables 3 &amp; 4'!$S$37</definedName>
    <definedName name="learners_sptve_autotech_f_g8">'[1]I. Tables 3 &amp; 4'!$Y$37</definedName>
    <definedName name="learners_sptve_autotech_f_g9">'[1]I. Tables 3 &amp; 4'!$AE$37</definedName>
    <definedName name="learners_sptve_autotech_m_g10">'[1]I. Tables 3 &amp; 4'!$AH$37</definedName>
    <definedName name="learners_sptve_autotech_m_g7">'[1]I. Tables 3 &amp; 4'!$P$37</definedName>
    <definedName name="learners_sptve_autotech_m_g8">'[1]I. Tables 3 &amp; 4'!$V$37</definedName>
    <definedName name="learners_sptve_autotech_m_g9">'[1]I. Tables 3 &amp; 4'!$AB$37</definedName>
    <definedName name="learners_sptve_beautycarewell_f_g10">'[1]I. Tables 3 &amp; 4'!$AK$29</definedName>
    <definedName name="learners_sptve_beautycarewell_f_g7">'[1]I. Tables 3 &amp; 4'!$S$29</definedName>
    <definedName name="learners_sptve_beautycarewell_f_g8">'[1]I. Tables 3 &amp; 4'!$Y$29</definedName>
    <definedName name="learners_sptve_beautycarewell_f_g9">'[1]I. Tables 3 &amp; 4'!$AE$29</definedName>
    <definedName name="learners_sptve_beautycarewell_m_g10">'[1]I. Tables 3 &amp; 4'!$AH$29</definedName>
    <definedName name="learners_sptve_beautycarewell_m_g7">'[1]I. Tables 3 &amp; 4'!$P$29</definedName>
    <definedName name="learners_sptve_beautycarewell_m_g8">'[1]I. Tables 3 &amp; 4'!$V$29</definedName>
    <definedName name="learners_sptve_beautycarewell_m_g9">'[1]I. Tables 3 &amp; 4'!$AB$29</definedName>
    <definedName name="learners_sptve_bldgconstech_f_g10">'[1]I. Tables 3 &amp; 4'!$AK$35</definedName>
    <definedName name="learners_sptve_bldgconstech_f_g7">'[1]I. Tables 3 &amp; 4'!$S$35</definedName>
    <definedName name="learners_sptve_bldgconstech_f_g8">'[1]I. Tables 3 &amp; 4'!$Y$35</definedName>
    <definedName name="learners_sptve_bldgconstech_f_g9">'[1]I. Tables 3 &amp; 4'!$AE$35</definedName>
    <definedName name="learners_sptve_bldgconstech_m_g10">'[1]I. Tables 3 &amp; 4'!$AH$35</definedName>
    <definedName name="learners_sptve_bldgconstech_m_g7">'[1]I. Tables 3 &amp; 4'!$P$35</definedName>
    <definedName name="learners_sptve_bldgconstech_m_g8">'[1]I. Tables 3 &amp; 4'!$V$35</definedName>
    <definedName name="learners_sptve_bldgconstech_m_g9">'[1]I. Tables 3 &amp; 4'!$AB$35</definedName>
    <definedName name="learners_sptve_comptech_f_g10">'[1]I. Tables 3 &amp; 4'!$AK$33</definedName>
    <definedName name="learners_sptve_comptech_f_g7">'[1]I. Tables 3 &amp; 4'!$S$33</definedName>
    <definedName name="learners_sptve_comptech_f_g8">'[1]I. Tables 3 &amp; 4'!$Y$33</definedName>
    <definedName name="learners_sptve_comptech_f_g9">'[1]I. Tables 3 &amp; 4'!$AE$33</definedName>
    <definedName name="learners_sptve_comptech_m_g10">'[1]I. Tables 3 &amp; 4'!$AH$33</definedName>
    <definedName name="learners_sptve_comptech_m_g7">'[1]I. Tables 3 &amp; 4'!$P$33</definedName>
    <definedName name="learners_sptve_comptech_m_g8">'[1]I. Tables 3 &amp; 4'!$V$33</definedName>
    <definedName name="learners_sptve_comptech_m_g9">'[1]I. Tables 3 &amp; 4'!$AB$33</definedName>
    <definedName name="learners_sptve_draftingtech_f_g10">'[1]I. Tables 3 &amp; 4'!$AK$40</definedName>
    <definedName name="learners_sptve_draftingtech_f_g7">'[1]I. Tables 3 &amp; 4'!$S$40</definedName>
    <definedName name="learners_sptve_draftingtech_f_g8">'[1]I. Tables 3 &amp; 4'!$Y$40</definedName>
    <definedName name="learners_sptve_draftingtech_f_g9">'[1]I. Tables 3 &amp; 4'!$AE$40</definedName>
    <definedName name="learners_sptve_draftingtech_m_g10">'[1]I. Tables 3 &amp; 4'!$AH$40</definedName>
    <definedName name="learners_sptve_draftingtech_m_g7">'[1]I. Tables 3 &amp; 4'!$P$40</definedName>
    <definedName name="learners_sptve_draftingtech_m_g8">'[1]I. Tables 3 &amp; 4'!$V$40</definedName>
    <definedName name="learners_sptve_draftingtech_m_g9">'[1]I. Tables 3 &amp; 4'!$AB$40</definedName>
    <definedName name="learners_sptve_electricaltech_f_g10">'[1]I. Tables 3 &amp; 4'!$AK$39</definedName>
    <definedName name="learners_sptve_electricaltech_f_g7">'[1]I. Tables 3 &amp; 4'!$S$39</definedName>
    <definedName name="learners_sptve_electricaltech_f_g8">'[1]I. Tables 3 &amp; 4'!$Y$39</definedName>
    <definedName name="learners_sptve_electricaltech_f_g9">'[1]I. Tables 3 &amp; 4'!$AE$39</definedName>
    <definedName name="learners_sptve_electricaltech_m_g10">'[1]I. Tables 3 &amp; 4'!$AH$39</definedName>
    <definedName name="learners_sptve_electricaltech_m_g7">'[1]I. Tables 3 &amp; 4'!$P$39</definedName>
    <definedName name="learners_sptve_electricaltech_m_g8">'[1]I. Tables 3 &amp; 4'!$V$39</definedName>
    <definedName name="learners_sptve_electricaltech_m_g9">'[1]I. Tables 3 &amp; 4'!$AB$39</definedName>
    <definedName name="learners_sptve_electronictech_f_g10">'[1]I. Tables 3 &amp; 4'!$AK$36</definedName>
    <definedName name="learners_sptve_electronictech_f_g7">'[1]I. Tables 3 &amp; 4'!$S$36</definedName>
    <definedName name="learners_sptve_electronictech_f_g8">'[1]I. Tables 3 &amp; 4'!$Y$36</definedName>
    <definedName name="learners_sptve_electronictech_f_g9">'[1]I. Tables 3 &amp; 4'!$AE$36</definedName>
    <definedName name="learners_sptve_electronictech_m_g10">'[1]I. Tables 3 &amp; 4'!$AH$36</definedName>
    <definedName name="learners_sptve_electronictech_m_g7">'[1]I. Tables 3 &amp; 4'!$P$36</definedName>
    <definedName name="learners_sptve_electronictech_m_g8">'[1]I. Tables 3 &amp; 4'!$V$36</definedName>
    <definedName name="learners_sptve_electronictech_m_g9">'[1]I. Tables 3 &amp; 4'!$AB$36</definedName>
    <definedName name="learners_sptve_enterp_f_g10">'[1]I. Tables 3 &amp; 4'!$AK$49</definedName>
    <definedName name="learners_sptve_enterp_f_g7">'[1]I. Tables 3 &amp; 4'!$S$49</definedName>
    <definedName name="learners_sptve_enterp_f_g8">'[1]I. Tables 3 &amp; 4'!$Y$49</definedName>
    <definedName name="learners_sptve_enterp_f_g9">'[1]I. Tables 3 &amp; 4'!$AE$49</definedName>
    <definedName name="learners_sptve_enterp_m_g10">'[1]I. Tables 3 &amp; 4'!$AH$49</definedName>
    <definedName name="learners_sptve_enterp_m_g7">'[1]I. Tables 3 &amp; 4'!$P$49</definedName>
    <definedName name="learners_sptve_enterp_m_g8">'[1]I. Tables 3 &amp; 4'!$V$49</definedName>
    <definedName name="learners_sptve_enterp_m_g9">'[1]I. Tables 3 &amp; 4'!$AB$49</definedName>
    <definedName name="learners_sptve_fishprodtech_f_g10">'[1]I. Tables 3 &amp; 4'!$AK$46</definedName>
    <definedName name="learners_sptve_fishprodtech_f_g7">'[1]I. Tables 3 &amp; 4'!$S$46</definedName>
    <definedName name="learners_sptve_fishprodtech_f_g8">'[1]I. Tables 3 &amp; 4'!$Y$46</definedName>
    <definedName name="learners_sptve_fishprodtech_f_g9">'[1]I. Tables 3 &amp; 4'!$AE$46</definedName>
    <definedName name="learners_sptve_fishprodtech_m_g10">'[1]I. Tables 3 &amp; 4'!$AH$46</definedName>
    <definedName name="learners_sptve_fishprodtech_m_g7">'[1]I. Tables 3 &amp; 4'!$P$46</definedName>
    <definedName name="learners_sptve_fishprodtech_m_g8">'[1]I. Tables 3 &amp; 4'!$V$46</definedName>
    <definedName name="learners_sptve_fishprodtech_m_g9">'[1]I. Tables 3 &amp; 4'!$AB$46</definedName>
    <definedName name="learners_sptve_foodprotech_f_g10">'[1]I. Tables 3 &amp; 4'!$AK$45</definedName>
    <definedName name="learners_sptve_foodprotech_f_g7">'[1]I. Tables 3 &amp; 4'!$S$45</definedName>
    <definedName name="learners_sptve_foodprotech_f_g8">'[1]I. Tables 3 &amp; 4'!$Y$45</definedName>
    <definedName name="learners_sptve_foodprotech_f_g9">'[1]I. Tables 3 &amp; 4'!$AE$45</definedName>
    <definedName name="learners_sptve_foodprotech_m_g10">'[1]I. Tables 3 &amp; 4'!$AH$45</definedName>
    <definedName name="learners_sptve_foodprotech_m_g7">'[1]I. Tables 3 &amp; 4'!$P$45</definedName>
    <definedName name="learners_sptve_foodprotech_m_g8">'[1]I. Tables 3 &amp; 4'!$V$45</definedName>
    <definedName name="learners_sptve_foodprotech_m_g9">'[1]I. Tables 3 &amp; 4'!$AB$45</definedName>
    <definedName name="learners_sptve_foodtech_f_g10">'[1]I. Tables 3 &amp; 4'!$AK$31</definedName>
    <definedName name="learners_sptve_foodtech_f_g7">'[1]I. Tables 3 &amp; 4'!$S$31</definedName>
    <definedName name="learners_sptve_foodtech_f_g8">'[1]I. Tables 3 &amp; 4'!$Y$31</definedName>
    <definedName name="learners_sptve_foodtech_f_g9">'[1]I. Tables 3 &amp; 4'!$AE$31</definedName>
    <definedName name="learners_sptve_foodtech_m_g10">'[1]I. Tables 3 &amp; 4'!$AH$31</definedName>
    <definedName name="learners_sptve_foodtech_m_g7">'[1]I. Tables 3 &amp; 4'!$P$31</definedName>
    <definedName name="learners_sptve_foodtech_m_g8">'[1]I. Tables 3 &amp; 4'!$V$31</definedName>
    <definedName name="learners_sptve_foodtech_m_g9">'[1]I. Tables 3 &amp; 4'!$AB$31</definedName>
    <definedName name="learners_sptve_furntech_f_g10">'[1]I. Tables 3 &amp; 4'!$AK$41</definedName>
    <definedName name="learners_sptve_furntech_f_g7">'[1]I. Tables 3 &amp; 4'!$S$41</definedName>
    <definedName name="learners_sptve_furntech_f_g8">'[1]I. Tables 3 &amp; 4'!$Y$41</definedName>
    <definedName name="learners_sptve_furntech_f_g9">'[1]I. Tables 3 &amp; 4'!$AE$41</definedName>
    <definedName name="learners_sptve_furntech_m_g10">'[1]I. Tables 3 &amp; 4'!$AH$41</definedName>
    <definedName name="learners_sptve_furntech_m_g7">'[1]I. Tables 3 &amp; 4'!$P$41</definedName>
    <definedName name="learners_sptve_furntech_m_g8">'[1]I. Tables 3 &amp; 4'!$V$41</definedName>
    <definedName name="learners_sptve_furntech_m_g9">'[1]I. Tables 3 &amp; 4'!$AB$41</definedName>
    <definedName name="learners_sptve_garmenttech_f_g10">'[1]I. Tables 3 &amp; 4'!$AK$30</definedName>
    <definedName name="learners_sptve_garmenttech_f_g7">'[1]I. Tables 3 &amp; 4'!$S$30</definedName>
    <definedName name="learners_sptve_garmenttech_f_g8">'[1]I. Tables 3 &amp; 4'!$Y$30</definedName>
    <definedName name="learners_sptve_garmenttech_f_g9">'[1]I. Tables 3 &amp; 4'!$AE$30</definedName>
    <definedName name="learners_sptve_garmenttech_m_g10">'[1]I. Tables 3 &amp; 4'!$AH$30</definedName>
    <definedName name="learners_sptve_garmenttech_m_g7">'[1]I. Tables 3 &amp; 4'!$P$30</definedName>
    <definedName name="learners_sptve_garmenttech_m_g8">'[1]I. Tables 3 &amp; 4'!$V$30</definedName>
    <definedName name="learners_sptve_garmenttech_m_g9">'[1]I. Tables 3 &amp; 4'!$AB$30</definedName>
    <definedName name="learners_sptve_internetfundamentals_f_g10">'[1]I. Tables 3 &amp; 4'!$AK$48</definedName>
    <definedName name="learners_sptve_internetfundamentals_f_g7">'[1]I. Tables 3 &amp; 4'!$S$48</definedName>
    <definedName name="learners_sptve_internetfundamentals_f_g8">'[1]I. Tables 3 &amp; 4'!$Y$48</definedName>
    <definedName name="learners_sptve_internetfundamentals_f_g9">'[1]I. Tables 3 &amp; 4'!$AE$48</definedName>
    <definedName name="learners_sptve_internetfundamentals_m_g10">'[1]I. Tables 3 &amp; 4'!$AH$48</definedName>
    <definedName name="learners_sptve_internetfundamentals_m_g7">'[1]I. Tables 3 &amp; 4'!$P$48</definedName>
    <definedName name="learners_sptve_internetfundamentals_m_g8">'[1]I. Tables 3 &amp; 4'!$V$48</definedName>
    <definedName name="learners_sptve_internetfundamentals_m_g9">'[1]I. Tables 3 &amp; 4'!$AB$48</definedName>
    <definedName name="learners_sptve_machtech_f_g10">'[1]I. Tables 3 &amp; 4'!$AK$34</definedName>
    <definedName name="learners_sptve_machtech_f_g7">'[1]I. Tables 3 &amp; 4'!$S$34</definedName>
    <definedName name="learners_sptve_machtech_f_g8">'[1]I. Tables 3 &amp; 4'!$Y$34</definedName>
    <definedName name="learners_sptve_machtech_f_g9">'[1]I. Tables 3 &amp; 4'!$AE$34</definedName>
    <definedName name="learners_sptve_machtech_m_g10">'[1]I. Tables 3 &amp; 4'!$AH$34</definedName>
    <definedName name="learners_sptve_machtech_m_g7">'[1]I. Tables 3 &amp; 4'!$P$34</definedName>
    <definedName name="learners_sptve_machtech_m_g8">'[1]I. Tables 3 &amp; 4'!$V$34</definedName>
    <definedName name="learners_sptve_machtech_m_g9">'[1]I. Tables 3 &amp; 4'!$AB$34</definedName>
    <definedName name="learners_sptve_techdrawing_f_g10">'[1]I. Tables 3 &amp; 4'!$AK$50</definedName>
    <definedName name="learners_sptve_techdrawing_f_g7">'[1]I. Tables 3 &amp; 4'!$S$50</definedName>
    <definedName name="learners_sptve_techdrawing_f_g8">'[1]I. Tables 3 &amp; 4'!$Y$50</definedName>
    <definedName name="learners_sptve_techdrawing_f_g9">'[1]I. Tables 3 &amp; 4'!$AE$50</definedName>
    <definedName name="learners_sptve_techdrawing_m_g10">'[1]I. Tables 3 &amp; 4'!$AH$50</definedName>
    <definedName name="learners_sptve_techdrawing_m_g7">'[1]I. Tables 3 &amp; 4'!$P$50</definedName>
    <definedName name="learners_sptve_techdrawing_m_g8">'[1]I. Tables 3 &amp; 4'!$V$50</definedName>
    <definedName name="learners_sptve_techdrawing_m_g9">'[1]I. Tables 3 &amp; 4'!$AB$50</definedName>
    <definedName name="learners_sptve_weldintech_f_g10">'[1]I. Tables 3 &amp; 4'!$AK$38</definedName>
    <definedName name="learners_sptve_weldintech_f_g7">'[1]I. Tables 3 &amp; 4'!$S$38</definedName>
    <definedName name="learners_sptve_weldintech_f_g8">'[1]I. Tables 3 &amp; 4'!$Y$38</definedName>
    <definedName name="learners_sptve_weldintech_f_g9">'[1]I. Tables 3 &amp; 4'!$AE$38</definedName>
    <definedName name="learners_sptve_weldintech_m_g10">'[1]I. Tables 3 &amp; 4'!$AH$38</definedName>
    <definedName name="learners_sptve_weldintech_m_g7">'[1]I. Tables 3 &amp; 4'!$P$38</definedName>
    <definedName name="learners_sptve_weldintech_m_g8">'[1]I. Tables 3 &amp; 4'!$V$38</definedName>
    <definedName name="learners_sptve_weldintech_m_g9">'[1]I. Tables 3 &amp; 4'!$AB$38</definedName>
    <definedName name="learners_tle_afa_agricrops_f_g10">'[1]I. Table 5'!$AO$33</definedName>
    <definedName name="learners_tle_afa_agricrops_f_g7">'[1]I. Table 5'!$W$33</definedName>
    <definedName name="learners_tle_afa_agricrops_f_g8">'[1]I. Table 5'!$AC$33</definedName>
    <definedName name="learners_tle_afa_agricrops_f_g9">'[1]I. Table 5'!$AI$33</definedName>
    <definedName name="learners_tle_afa_agricrops_m_g10">'[1]I. Table 5'!$AL$33</definedName>
    <definedName name="learners_tle_afa_agricrops_m_g7">'[1]I. Table 5'!$T$33</definedName>
    <definedName name="learners_tle_afa_agricrops_m_g8">'[1]I. Table 5'!$Z$33</definedName>
    <definedName name="learners_tle_afa_agricrops_m_g9">'[1]I. Table 5'!$AF$33</definedName>
    <definedName name="learners_tle_afa_animalprodlr_f_g10">'[1]I. Table 5'!$AO$34</definedName>
    <definedName name="learners_tle_afa_animalprodlr_f_g7">'[1]I. Table 5'!$W$34</definedName>
    <definedName name="learners_tle_afa_animalprodlr_f_g8">'[1]I. Table 5'!$AC$34</definedName>
    <definedName name="learners_tle_afa_animalprodlr_f_g9">'[1]I. Table 5'!$AI$34</definedName>
    <definedName name="learners_tle_afa_animalprodlr_m_g10">'[1]I. Table 5'!$AL$34</definedName>
    <definedName name="learners_tle_afa_animalprodlr_m_g7">'[1]I. Table 5'!$T$34</definedName>
    <definedName name="learners_tle_afa_animalprodlr_m_g8">'[1]I. Table 5'!$Z$34</definedName>
    <definedName name="learners_tle_afa_animalprodlr_m_g9">'[1]I. Table 5'!$AF$34</definedName>
    <definedName name="learners_tle_afa_animalprodp_f_g10">'[1]I. Table 5'!$AO$35</definedName>
    <definedName name="learners_tle_afa_animalprodp_f_g7">'[1]I. Table 5'!$W$35</definedName>
    <definedName name="learners_tle_afa_animalprodp_f_g8">'[1]I. Table 5'!$AC$35</definedName>
    <definedName name="learners_tle_afa_animalprodp_f_g9">'[1]I. Table 5'!$AI$35</definedName>
    <definedName name="learners_tle_afa_animalprodp_m_g10">'[1]I. Table 5'!$AL$35</definedName>
    <definedName name="learners_tle_afa_animalprodp_m_g7">'[1]I. Table 5'!$T$35</definedName>
    <definedName name="learners_tle_afa_animalprodp_m_g8">'[1]I. Table 5'!$Z$35</definedName>
    <definedName name="learners_tle_afa_animalprodp_m_g9">'[1]I. Table 5'!$AF$35</definedName>
    <definedName name="learners_tle_afa_animalprods_f_g10">'[1]I. Table 5'!$AO$36</definedName>
    <definedName name="learners_tle_afa_animalprods_f_g7">'[1]I. Table 5'!$W$36</definedName>
    <definedName name="learners_tle_afa_animalprods_f_g8">'[1]I. Table 5'!$AC$36</definedName>
    <definedName name="learners_tle_afa_animalprods_f_g9">'[1]I. Table 5'!$AI$36</definedName>
    <definedName name="learners_tle_afa_animalprods_m_g10">'[1]I. Table 5'!$AL$36</definedName>
    <definedName name="learners_tle_afa_animalprods_m_g7">'[1]I. Table 5'!$T$36</definedName>
    <definedName name="learners_tle_afa_animalprods_m_g8">'[1]I. Table 5'!$Z$36</definedName>
    <definedName name="learners_tle_afa_animalprods_m_g9">'[1]I. Table 5'!$AF$36</definedName>
    <definedName name="learners_tle_afa_aquaculture_f_g10">'[1]I. Table 5'!$AO$37</definedName>
    <definedName name="learners_tle_afa_aquaculture_f_g7">'[1]I. Table 5'!$W$37</definedName>
    <definedName name="learners_tle_afa_aquaculture_f_g8">'[1]I. Table 5'!$AC$37</definedName>
    <definedName name="learners_tle_afa_aquaculture_f_g9">'[1]I. Table 5'!$AI$37</definedName>
    <definedName name="learners_tle_afa_aquaculture_m_g10">'[1]I. Table 5'!$AL$37</definedName>
    <definedName name="learners_tle_afa_aquaculture_m_g7">'[1]I. Table 5'!$T$37</definedName>
    <definedName name="learners_tle_afa_aquaculture_m_g8">'[1]I. Table 5'!$Z$37</definedName>
    <definedName name="learners_tle_afa_aquaculture_m_g9">'[1]I. Table 5'!$AF$37</definedName>
    <definedName name="learners_tle_afa_fishcapture_f_g10">'[1]I. Table 5'!$AO$38</definedName>
    <definedName name="learners_tle_afa_fishcapture_f_g7">'[1]I. Table 5'!$W$38</definedName>
    <definedName name="learners_tle_afa_fishcapture_f_g8">'[1]I. Table 5'!$AC$38</definedName>
    <definedName name="learners_tle_afa_fishcapture_f_g9">'[1]I. Table 5'!$AI$38</definedName>
    <definedName name="learners_tle_afa_fishcapture_m_g10">'[1]I. Table 5'!$AL$38</definedName>
    <definedName name="learners_tle_afa_fishcapture_m_g7">'[1]I. Table 5'!$T$38</definedName>
    <definedName name="learners_tle_afa_fishcapture_m_g8">'[1]I. Table 5'!$Z$38</definedName>
    <definedName name="learners_tle_afa_fishcapture_m_g9">'[1]I. Table 5'!$AF$38</definedName>
    <definedName name="learners_tle_afa_fishinggear_f_g10">'[1]I. Table 5'!$AO$41</definedName>
    <definedName name="learners_tle_afa_fishinggear_f_g7">'[1]I. Table 5'!$W$41</definedName>
    <definedName name="learners_tle_afa_fishinggear_f_g8">'[1]I. Table 5'!$AC$41</definedName>
    <definedName name="learners_tle_afa_fishinggear_f_g9">'[1]I. Table 5'!$AI$41</definedName>
    <definedName name="learners_tle_afa_fishinggear_m_g10">'[1]I. Table 5'!$AL$41</definedName>
    <definedName name="learners_tle_afa_fishinggear_m_g7">'[1]I. Table 5'!$T$41</definedName>
    <definedName name="learners_tle_afa_fishinggear_m_g8">'[1]I. Table 5'!$Z$41</definedName>
    <definedName name="learners_tle_afa_fishinggear_m_g9">'[1]I. Table 5'!$AF$41</definedName>
    <definedName name="learners_tle_afa_fishproduct_f_g10">'[1]I. Table 5'!$AO$39</definedName>
    <definedName name="learners_tle_afa_fishproduct_f_g7">'[1]I. Table 5'!$W$39</definedName>
    <definedName name="learners_tle_afa_fishproduct_f_g8">'[1]I. Table 5'!$AC$39</definedName>
    <definedName name="learners_tle_afa_fishproduct_f_g9">'[1]I. Table 5'!$AI$39</definedName>
    <definedName name="learners_tle_afa_fishproduct_m_g10">'[1]I. Table 5'!$AL$39</definedName>
    <definedName name="learners_tle_afa_fishproduct_m_g7">'[1]I. Table 5'!$T$39</definedName>
    <definedName name="learners_tle_afa_fishproduct_m_g8">'[1]I. Table 5'!$Z$39</definedName>
    <definedName name="learners_tle_afa_fishproduct_m_g9">'[1]I. Table 5'!$AF$39</definedName>
    <definedName name="learners_tle_afa_fishwharf_f_g10">'[1]I. Table 5'!$AO$40</definedName>
    <definedName name="learners_tle_afa_fishwharf_f_g7">'[1]I. Table 5'!$W$40</definedName>
    <definedName name="learners_tle_afa_fishwharf_f_g8">'[1]I. Table 5'!$AC$40</definedName>
    <definedName name="learners_tle_afa_fishwharf_f_g9">'[1]I. Table 5'!$AI$40</definedName>
    <definedName name="learners_tle_afa_fishwharf_m_g10">'[1]I. Table 5'!$AL$40</definedName>
    <definedName name="learners_tle_afa_fishwharf_m_g7">'[1]I. Table 5'!$T$40</definedName>
    <definedName name="learners_tle_afa_fishwharf_m_g8">'[1]I. Table 5'!$Z$40</definedName>
    <definedName name="learners_tle_afa_fishwharf_m_g9">'[1]I. Table 5'!$AF$40</definedName>
    <definedName name="learners_tle_afa_foodprocessing_f_g10">'[1]I. Table 5'!$AO$42</definedName>
    <definedName name="learners_tle_afa_foodprocessing_f_g7">'[1]I. Table 5'!$W$42</definedName>
    <definedName name="learners_tle_afa_foodprocessing_f_g8">'[1]I. Table 5'!$AC$42</definedName>
    <definedName name="learners_tle_afa_foodprocessing_f_g9">'[1]I. Table 5'!$AI$42</definedName>
    <definedName name="learners_tle_afa_foodprocessing_m_g10">'[1]I. Table 5'!$AL$42</definedName>
    <definedName name="learners_tle_afa_foodprocessing_m_g7">'[1]I. Table 5'!$T$42</definedName>
    <definedName name="learners_tle_afa_foodprocessing_m_g8">'[1]I. Table 5'!$Z$42</definedName>
    <definedName name="learners_tle_afa_foodprocessing_m_g9">'[1]I. Table 5'!$AF$42</definedName>
    <definedName name="learners_tle_afa_landscape_f_g10">'[1]I. Table 5'!$AO$43</definedName>
    <definedName name="learners_tle_afa_landscape_f_g7">'[1]I. Table 5'!$W$43</definedName>
    <definedName name="learners_tle_afa_landscape_f_g8">'[1]I. Table 5'!$AC$43</definedName>
    <definedName name="learners_tle_afa_landscape_f_g9">'[1]I. Table 5'!$AI$43</definedName>
    <definedName name="learners_tle_afa_landscape_m_g10">'[1]I. Table 5'!$AL$43</definedName>
    <definedName name="learners_tle_afa_landscape_m_g7">'[1]I. Table 5'!$T$43</definedName>
    <definedName name="learners_tle_afa_landscape_m_g8">'[1]I. Table 5'!$Z$43</definedName>
    <definedName name="learners_tle_afa_landscape_m_g9">'[1]I. Table 5'!$AF$43</definedName>
    <definedName name="learners_tle_afa_organic_f_g10">'[1]I. Table 5'!$AO$44</definedName>
    <definedName name="learners_tle_afa_organic_f_g7">'[1]I. Table 5'!$W$44</definedName>
    <definedName name="learners_tle_afa_organic_f_g8">'[1]I. Table 5'!$AC$44</definedName>
    <definedName name="learners_tle_afa_organic_f_g9">'[1]I. Table 5'!$AI$44</definedName>
    <definedName name="learners_tle_afa_organic_m_g10">'[1]I. Table 5'!$AL$44</definedName>
    <definedName name="learners_tle_afa_organic_m_g7">'[1]I. Table 5'!$T$44</definedName>
    <definedName name="learners_tle_afa_organic_m_g8">'[1]I. Table 5'!$Z$44</definedName>
    <definedName name="learners_tle_afa_organic_m_g9">'[1]I. Table 5'!$AF$44</definedName>
    <definedName name="learners_tle_afa_pest_f_g10">'[1]I. Table 5'!$AO$45</definedName>
    <definedName name="learners_tle_afa_pest_f_g7">'[1]I. Table 5'!$W$45</definedName>
    <definedName name="learners_tle_afa_pest_f_g8">'[1]I. Table 5'!$AC$45</definedName>
    <definedName name="learners_tle_afa_pest_f_g9">'[1]I. Table 5'!$AI$45</definedName>
    <definedName name="learners_tle_afa_pest_m_g10">'[1]I. Table 5'!$AL$45</definedName>
    <definedName name="learners_tle_afa_pest_m_g7">'[1]I. Table 5'!$T$45</definedName>
    <definedName name="learners_tle_afa_pest_m_g8">'[1]I. Table 5'!$Z$45</definedName>
    <definedName name="learners_tle_afa_pest_m_g9">'[1]I. Table 5'!$AF$45</definedName>
    <definedName name="learners_tle_afa_ricemachinery_f_g10">'[1]I. Table 5'!$AO$46</definedName>
    <definedName name="learners_tle_afa_ricemachinery_f_g7">'[1]I. Table 5'!$W$46</definedName>
    <definedName name="learners_tle_afa_ricemachinery_f_g8">'[1]I. Table 5'!$AC$46</definedName>
    <definedName name="learners_tle_afa_ricemachinery_f_g9">'[1]I. Table 5'!$AI$46</definedName>
    <definedName name="learners_tle_afa_ricemachinery_m_g10">'[1]I. Table 5'!$AL$46</definedName>
    <definedName name="learners_tle_afa_ricemachinery_m_g7">'[1]I. Table 5'!$T$46</definedName>
    <definedName name="learners_tle_afa_ricemachinery_m_g8">'[1]I. Table 5'!$Z$46</definedName>
    <definedName name="learners_tle_afa_ricemachinery_m_g9">'[1]I. Table 5'!$AF$46</definedName>
    <definedName name="learners_tle_afa_rubberprocessing_f_g10">'[1]I. Table 5'!$AO$47</definedName>
    <definedName name="learners_tle_afa_rubberprocessing_f_g7">'[1]I. Table 5'!$W$47</definedName>
    <definedName name="learners_tle_afa_rubberprocessing_f_g8">'[1]I. Table 5'!$AC$47</definedName>
    <definedName name="learners_tle_afa_rubberprocessing_f_g9">'[1]I. Table 5'!$AI$47</definedName>
    <definedName name="learners_tle_afa_rubberprocessing_m_g10">'[1]I. Table 5'!$AL$47</definedName>
    <definedName name="learners_tle_afa_rubberprocessing_m_g7">'[1]I. Table 5'!$T$47</definedName>
    <definedName name="learners_tle_afa_rubberprocessing_m_g8">'[1]I. Table 5'!$Z$47</definedName>
    <definedName name="learners_tle_afa_rubberprocessing_m_g9">'[1]I. Table 5'!$AF$47</definedName>
    <definedName name="learners_tle_afa_rubberproduction_f_g10">'[1]I. Table 5'!$AO$48</definedName>
    <definedName name="learners_tle_afa_rubberproduction_f_g7">'[1]I. Table 5'!$W$48</definedName>
    <definedName name="learners_tle_afa_rubberproduction_f_g8">'[1]I. Table 5'!$AC$48</definedName>
    <definedName name="learners_tle_afa_rubberproduction_f_g9">'[1]I. Table 5'!$AI$48</definedName>
    <definedName name="learners_tle_afa_rubberproduction_m_g10">'[1]I. Table 5'!$AL$48</definedName>
    <definedName name="learners_tle_afa_rubberproduction_m_g7">'[1]I. Table 5'!$T$48</definedName>
    <definedName name="learners_tle_afa_rubberproduction_m_g8">'[1]I. Table 5'!$Z$48</definedName>
    <definedName name="learners_tle_afa_rubberproduction_m_g9">'[1]I. Table 5'!$AF$48</definedName>
    <definedName name="learners_tle_afa_slaughtering_f_g10">'[1]I. Table 5'!$AO$49</definedName>
    <definedName name="learners_tle_afa_slaughtering_f_g7">'[1]I. Table 5'!$W$49</definedName>
    <definedName name="learners_tle_afa_slaughtering_f_g8">'[1]I. Table 5'!$AC$49</definedName>
    <definedName name="learners_tle_afa_slaughtering_f_g9">'[1]I. Table 5'!$AI$49</definedName>
    <definedName name="learners_tle_afa_slaughtering_m_g10">'[1]I. Table 5'!$AL$49</definedName>
    <definedName name="learners_tle_afa_slaughtering_m_g7">'[1]I. Table 5'!$T$49</definedName>
    <definedName name="learners_tle_afa_slaughtering_m_g8">'[1]I. Table 5'!$Z$49</definedName>
    <definedName name="learners_tle_afa_slaughtering_m_g9">'[1]I. Table 5'!$AF$49</definedName>
    <definedName name="learners_tle_he_atpoe_f_g10">'[1]I. Table 5'!$AO$10</definedName>
    <definedName name="learners_tle_he_atpoe_f_g7">'[1]I. Table 5'!$W$10</definedName>
    <definedName name="learners_tle_he_atpoe_f_g8">'[1]I. Table 5'!$AC$10</definedName>
    <definedName name="learners_tle_he_atpoe_f_g9">'[1]I. Table 5'!$AI$10</definedName>
    <definedName name="learners_tle_he_atpoe_m_g10">'[1]I. Table 5'!$AL$10</definedName>
    <definedName name="learners_tle_he_atpoe_m_g7">'[1]I. Table 5'!$T$10</definedName>
    <definedName name="learners_tle_he_atpoe_m_g8">'[1]I. Table 5'!$Z$10</definedName>
    <definedName name="learners_tle_he_atpoe_m_g9">'[1]I. Table 5'!$AF$10</definedName>
    <definedName name="learners_tle_he_barbering_f_g10">'[1]I. Table 5'!$AO$11</definedName>
    <definedName name="learners_tle_he_barbering_f_g7">'[1]I. Table 5'!$W$11</definedName>
    <definedName name="learners_tle_he_barbering_f_g8">'[1]I. Table 5'!$AC$11</definedName>
    <definedName name="learners_tle_he_barbering_f_g9">'[1]I. Table 5'!$AI$11</definedName>
    <definedName name="learners_tle_he_barbering_m_g10">'[1]I. Table 5'!$AL$11</definedName>
    <definedName name="learners_tle_he_barbering_m_g7">'[1]I. Table 5'!$T$11</definedName>
    <definedName name="learners_tle_he_barbering_m_g8">'[1]I. Table 5'!$Z$11</definedName>
    <definedName name="learners_tle_he_barbering_m_g9">'[1]I. Table 5'!$AF$11</definedName>
    <definedName name="learners_tle_he_barista_f_g10">'[1]I. Table 5'!$AO$12</definedName>
    <definedName name="learners_tle_he_barista_f_g7">'[1]I. Table 5'!$W$12</definedName>
    <definedName name="learners_tle_he_barista_f_g8">'[1]I. Table 5'!$AC$12</definedName>
    <definedName name="learners_tle_he_barista_f_g9">'[1]I. Table 5'!$AI$12</definedName>
    <definedName name="learners_tle_he_barista_m_g10">'[1]I. Table 5'!$AL$12</definedName>
    <definedName name="learners_tle_he_barista_m_g7">'[1]I. Table 5'!$T$12</definedName>
    <definedName name="learners_tle_he_barista_m_g8">'[1]I. Table 5'!$Z$12</definedName>
    <definedName name="learners_tle_he_barista_m_g9">'[1]I. Table 5'!$AF$12</definedName>
    <definedName name="learners_tle_he_bartending_f_g10">'[1]I. Table 5'!$AO$13</definedName>
    <definedName name="learners_tle_he_bartending_f_g7">'[1]I. Table 5'!$W$13</definedName>
    <definedName name="learners_tle_he_bartending_f_g8">'[1]I. Table 5'!$AC$13</definedName>
    <definedName name="learners_tle_he_bartending_f_g9">'[1]I. Table 5'!$AI$13</definedName>
    <definedName name="learners_tle_he_bartending_m_g10">'[1]I. Table 5'!$AL$13</definedName>
    <definedName name="learners_tle_he_bartending_m_g7">'[1]I. Table 5'!$T$13</definedName>
    <definedName name="learners_tle_he_bartending_m_g8">'[1]I. Table 5'!$Z$13</definedName>
    <definedName name="learners_tle_he_bartending_m_g9">'[1]I. Table 5'!$AF$13</definedName>
    <definedName name="learners_tle_he_beautycare_f_g10">'[1]I. Table 5'!$AO$14</definedName>
    <definedName name="learners_tle_he_beautycare_f_g7">'[1]I. Table 5'!$W$14</definedName>
    <definedName name="learners_tle_he_beautycare_f_g8">'[1]I. Table 5'!$AC$14</definedName>
    <definedName name="learners_tle_he_beautycare_f_g9">'[1]I. Table 5'!$AI$14</definedName>
    <definedName name="learners_tle_he_beautycare_m_g10">'[1]I. Table 5'!$AL$14</definedName>
    <definedName name="learners_tle_he_beautycare_m_g7">'[1]I. Table 5'!$T$14</definedName>
    <definedName name="learners_tle_he_beautycare_m_g8">'[1]I. Table 5'!$Z$14</definedName>
    <definedName name="learners_tle_he_beautycare_m_g9">'[1]I. Table 5'!$AF$14</definedName>
    <definedName name="learners_tle_he_caregiving_f_g10">'[1]I. Table 5'!$AO$15</definedName>
    <definedName name="learners_tle_he_caregiving_f_g7">'[1]I. Table 5'!$W$15</definedName>
    <definedName name="learners_tle_he_caregiving_f_g8">'[1]I. Table 5'!$AC$15</definedName>
    <definedName name="learners_tle_he_caregiving_f_g9">'[1]I. Table 5'!$AI$15</definedName>
    <definedName name="learners_tle_he_caregiving_m_g10">'[1]I. Table 5'!$AL$15</definedName>
    <definedName name="learners_tle_he_caregiving_m_g7">'[1]I. Table 5'!$T$15</definedName>
    <definedName name="learners_tle_he_caregiving_m_g8">'[1]I. Table 5'!$Z$15</definedName>
    <definedName name="learners_tle_he_caregiving_m_g9">'[1]I. Table 5'!$AF$15</definedName>
    <definedName name="learners_tle_he_cookery_f_g10">'[1]I. Table 5'!$AO$16</definedName>
    <definedName name="learners_tle_he_cookery_f_g7">'[1]I. Table 5'!$W$16</definedName>
    <definedName name="learners_tle_he_cookery_f_g8">'[1]I. Table 5'!$AC$16</definedName>
    <definedName name="learners_tle_he_cookery_f_g9">'[1]I. Table 5'!$AI$16</definedName>
    <definedName name="learners_tle_he_cookery_m_g10">'[1]I. Table 5'!$AL$16</definedName>
    <definedName name="learners_tle_he_cookery_m_g7">'[1]I. Table 5'!$T$16</definedName>
    <definedName name="learners_tle_he_cookery_m_g8">'[1]I. Table 5'!$Z$16</definedName>
    <definedName name="learners_tle_he_cookery_m_g9">'[1]I. Table 5'!$AF$16</definedName>
    <definedName name="learners_tle_he_dressmaking_f_g10">'[1]I. Table 5'!$AO$17</definedName>
    <definedName name="learners_tle_he_dressmaking_f_g7">'[1]I. Table 5'!$W$17</definedName>
    <definedName name="learners_tle_he_dressmaking_f_g8">'[1]I. Table 5'!$AC$17</definedName>
    <definedName name="learners_tle_he_dressmaking_f_g9">'[1]I. Table 5'!$AI$17</definedName>
    <definedName name="learners_tle_he_dressmaking_m_g10">'[1]I. Table 5'!$AL$17</definedName>
    <definedName name="learners_tle_he_dressmaking_m_g7">'[1]I. Table 5'!$T$17</definedName>
    <definedName name="learners_tle_he_dressmaking_m_g8">'[1]I. Table 5'!$Z$17</definedName>
    <definedName name="learners_tle_he_dressmaking_m_g9">'[1]I. Table 5'!$AF$17</definedName>
    <definedName name="learners_tle_he_events_f_g10">'[1]I. Table 5'!$AO$18</definedName>
    <definedName name="learners_tle_he_events_f_g7">'[1]I. Table 5'!$W$18</definedName>
    <definedName name="learners_tle_he_events_f_g8">'[1]I. Table 5'!$AC$18</definedName>
    <definedName name="learners_tle_he_events_f_g9">'[1]I. Table 5'!$AI$18</definedName>
    <definedName name="learners_tle_he_events_m_g10">'[1]I. Table 5'!$AL$18</definedName>
    <definedName name="learners_tle_he_events_m_g7">'[1]I. Table 5'!$T$18</definedName>
    <definedName name="learners_tle_he_events_m_g8">'[1]I. Table 5'!$Z$18</definedName>
    <definedName name="learners_tle_he_events_m_g9">'[1]I. Table 5'!$AF$18</definedName>
    <definedName name="learners_tle_he_fbe_f_g10">'[1]I. Table 5'!$AO$19</definedName>
    <definedName name="learners_tle_he_fbe_f_g7">'[1]I. Table 5'!$W$19</definedName>
    <definedName name="learners_tle_he_fbe_f_g8">'[1]I. Table 5'!$AC$19</definedName>
    <definedName name="learners_tle_he_fbe_f_g9">'[1]I. Table 5'!$AI$19</definedName>
    <definedName name="learners_tle_he_fbe_m_g10">'[1]I. Table 5'!$AL$19</definedName>
    <definedName name="learners_tle_he_fbe_m_g7">'[1]I. Table 5'!$T$19</definedName>
    <definedName name="learners_tle_he_fbe_m_g8">'[1]I. Table 5'!$Z$19</definedName>
    <definedName name="learners_tle_he_fbe_m_g9">'[1]I. Table 5'!$AF$19</definedName>
    <definedName name="learners_tle_he_frontofficesrvc_f_g10">'[1]I. Table 5'!$AO$20</definedName>
    <definedName name="learners_tle_he_frontofficesrvc_f_g7">'[1]I. Table 5'!$W$20</definedName>
    <definedName name="learners_tle_he_frontofficesrvc_f_g8">'[1]I. Table 5'!$AC$20</definedName>
    <definedName name="learners_tle_he_frontofficesrvc_f_g9">'[1]I. Table 5'!$AI$20</definedName>
    <definedName name="learners_tle_he_frontofficesrvc_m_g10">'[1]I. Table 5'!$AL$20</definedName>
    <definedName name="learners_tle_he_frontofficesrvc_m_g7">'[1]I. Table 5'!$T$20</definedName>
    <definedName name="learners_tle_he_frontofficesrvc_m_g8">'[1]I. Table 5'!$Z$20</definedName>
    <definedName name="learners_tle_he_frontofficesrvc_m_g9">'[1]I. Table 5'!$AF$20</definedName>
    <definedName name="learners_tle_he_hairdressing_f_g10">'[1]I. Table 5'!$AO$21</definedName>
    <definedName name="learners_tle_he_hairdressing_f_g7">'[1]I. Table 5'!$W$21</definedName>
    <definedName name="learners_tle_he_hairdressing_f_g8">'[1]I. Table 5'!$AC$21</definedName>
    <definedName name="learners_tle_he_hairdressing_f_g9">'[1]I. Table 5'!$AI$21</definedName>
    <definedName name="learners_tle_he_hairdressing_m_g10">'[1]I. Table 5'!$AL$21</definedName>
    <definedName name="learners_tle_he_hairdressing_m_g7">'[1]I. Table 5'!$T$21</definedName>
    <definedName name="learners_tle_he_hairdressing_m_g8">'[1]I. Table 5'!$Z$21</definedName>
    <definedName name="learners_tle_he_hairdressing_m_g9">'[1]I. Table 5'!$AF$21</definedName>
    <definedName name="learners_tle_he_handicraft_bm_f_g10">'[1]I. Table 5'!$AO$22</definedName>
    <definedName name="learners_tle_he_handicraft_bm_f_g7">'[1]I. Table 5'!$W$22</definedName>
    <definedName name="learners_tle_he_handicraft_bm_f_g8">'[1]I. Table 5'!$AC$22</definedName>
    <definedName name="learners_tle_he_handicraft_bm_f_g9">'[1]I. Table 5'!$AI$22</definedName>
    <definedName name="learners_tle_he_handicraft_bm_m_g10">'[1]I. Table 5'!$AL$22</definedName>
    <definedName name="learners_tle_he_handicraft_bm_m_g7">'[1]I. Table 5'!$T$22</definedName>
    <definedName name="learners_tle_he_handicraft_bm_m_g8">'[1]I. Table 5'!$Z$22</definedName>
    <definedName name="learners_tle_he_handicraft_bm_m_g9">'[1]I. Table 5'!$AF$22</definedName>
    <definedName name="learners_tle_he_handicraft_fapc_f_g10">'[1]I. Table 5'!$AO$23</definedName>
    <definedName name="learners_tle_he_handicraft_fapc_f_g7">'[1]I. Table 5'!$W$23</definedName>
    <definedName name="learners_tle_he_handicraft_fapc_f_g8">'[1]I. Table 5'!$AC$23</definedName>
    <definedName name="learners_tle_he_handicraft_fapc_f_g9">'[1]I. Table 5'!$AI$23</definedName>
    <definedName name="learners_tle_he_handicraft_fapc_m_g10">'[1]I. Table 5'!$AL$23</definedName>
    <definedName name="learners_tle_he_handicraft_fapc_m_g7">'[1]I. Table 5'!$T$23</definedName>
    <definedName name="learners_tle_he_handicraft_fapc_m_g8">'[1]I. Table 5'!$Z$23</definedName>
    <definedName name="learners_tle_he_handicraft_fapc_m_g9">'[1]I. Table 5'!$AF$23</definedName>
    <definedName name="learners_tle_he_handicraft_nc_f_g10">'[1]I. Table 5'!$AO$24</definedName>
    <definedName name="learners_tle_he_handicraft_nc_f_g7">'[1]I. Table 5'!$W$24</definedName>
    <definedName name="learners_tle_he_handicraft_nc_f_g8">'[1]I. Table 5'!$AC$24</definedName>
    <definedName name="learners_tle_he_handicraft_nc_f_g9">'[1]I. Table 5'!$AI$24</definedName>
    <definedName name="learners_tle_he_handicraft_nc_m_g10">'[1]I. Table 5'!$AL$24</definedName>
    <definedName name="learners_tle_he_handicraft_nc_m_g7">'[1]I. Table 5'!$T$24</definedName>
    <definedName name="learners_tle_he_handicraft_nc_m_g8">'[1]I. Table 5'!$Z$24</definedName>
    <definedName name="learners_tle_he_handicraft_nc_m_g9">'[1]I. Table 5'!$AF$24</definedName>
    <definedName name="learners_tle_he_handicraft_wclc_f_g10">'[1]I. Table 5'!$AO$25</definedName>
    <definedName name="learners_tle_he_handicraft_wclc_f_g7">'[1]I. Table 5'!$W$25</definedName>
    <definedName name="learners_tle_he_handicraft_wclc_f_g8">'[1]I. Table 5'!$AC$25</definedName>
    <definedName name="learners_tle_he_handicraft_wclc_f_g9">'[1]I. Table 5'!$AI$25</definedName>
    <definedName name="learners_tle_he_handicraft_wclc_m_g10">'[1]I. Table 5'!$AL$25</definedName>
    <definedName name="learners_tle_he_handicraft_wclc_m_g7">'[1]I. Table 5'!$T$25</definedName>
    <definedName name="learners_tle_he_handicraft_wclc_m_g8">'[1]I. Table 5'!$Z$25</definedName>
    <definedName name="learners_tle_he_handicraft_wclc_m_g9">'[1]I. Table 5'!$AF$25</definedName>
    <definedName name="learners_tle_he_housekeeping_f_g10">'[1]I. Table 5'!$AO$26</definedName>
    <definedName name="learners_tle_he_housekeeping_f_g7">'[1]I. Table 5'!$W$26</definedName>
    <definedName name="learners_tle_he_housekeeping_f_g8">'[1]I. Table 5'!$AC$26</definedName>
    <definedName name="learners_tle_he_housekeeping_f_g9">'[1]I. Table 5'!$AI$26</definedName>
    <definedName name="learners_tle_he_housekeeping_m_g10">'[1]I. Table 5'!$AL$26</definedName>
    <definedName name="learners_tle_he_housekeeping_m_g7">'[1]I. Table 5'!$T$26</definedName>
    <definedName name="learners_tle_he_housekeeping_m_g8">'[1]I. Table 5'!$Z$26</definedName>
    <definedName name="learners_tle_he_housekeeping_m_g9">'[1]I. Table 5'!$AF$26</definedName>
    <definedName name="learners_tle_he_lgs_f_g10">'[1]I. Table 5'!$AO$27</definedName>
    <definedName name="learners_tle_he_lgs_f_g7">'[1]I. Table 5'!$W$27</definedName>
    <definedName name="learners_tle_he_lgs_f_g8">'[1]I. Table 5'!$AC$27</definedName>
    <definedName name="learners_tle_he_lgs_f_g9">'[1]I. Table 5'!$AI$27</definedName>
    <definedName name="learners_tle_he_lgs_m_g10">'[1]I. Table 5'!$AL$27</definedName>
    <definedName name="learners_tle_he_lgs_m_g7">'[1]I. Table 5'!$T$27</definedName>
    <definedName name="learners_tle_he_lgs_m_g8">'[1]I. Table 5'!$Z$27</definedName>
    <definedName name="learners_tle_he_lgs_m_g9">'[1]I. Table 5'!$AF$27</definedName>
    <definedName name="learners_tle_he_tailoring_f_g10">'[1]I. Table 5'!$AO$28</definedName>
    <definedName name="learners_tle_he_tailoring_f_g7">'[1]I. Table 5'!$W$28</definedName>
    <definedName name="learners_tle_he_tailoring_f_g8">'[1]I. Table 5'!$AC$28</definedName>
    <definedName name="learners_tle_he_tailoring_f_g9">'[1]I. Table 5'!$AI$28</definedName>
    <definedName name="learners_tle_he_tailoring_m_g10">'[1]I. Table 5'!$AL$28</definedName>
    <definedName name="learners_tle_he_tailoring_m_g7">'[1]I. Table 5'!$T$28</definedName>
    <definedName name="learners_tle_he_tailoring_m_g8">'[1]I. Table 5'!$Z$28</definedName>
    <definedName name="learners_tle_he_tailoring_m_g9">'[1]I. Table 5'!$AF$28</definedName>
    <definedName name="learners_tle_he_tourism_f_g10">'[1]I. Table 5'!$AO$29</definedName>
    <definedName name="learners_tle_he_tourism_f_g7">'[1]I. Table 5'!$W$29</definedName>
    <definedName name="learners_tle_he_tourism_f_g8">'[1]I. Table 5'!$AC$29</definedName>
    <definedName name="learners_tle_he_tourism_f_g9">'[1]I. Table 5'!$AI$29</definedName>
    <definedName name="learners_tle_he_tourism_m_g10">'[1]I. Table 5'!$AL$29</definedName>
    <definedName name="learners_tle_he_tourism_m_g7">'[1]I. Table 5'!$T$29</definedName>
    <definedName name="learners_tle_he_tourism_m_g8">'[1]I. Table 5'!$Z$29</definedName>
    <definedName name="learners_tle_he_tourism_m_g9">'[1]I. Table 5'!$AF$29</definedName>
    <definedName name="learners_tle_he_travelservices_f_g10">'[1]I. Table 5'!$AO$30</definedName>
    <definedName name="learners_tle_he_travelservices_f_g7">'[1]I. Table 5'!$W$30</definedName>
    <definedName name="learners_tle_he_travelservices_f_g8">'[1]I. Table 5'!$AC$30</definedName>
    <definedName name="learners_tle_he_travelservices_f_g9">'[1]I. Table 5'!$AI$30</definedName>
    <definedName name="learners_tle_he_travelservices_m_g10">'[1]I. Table 5'!$AL$30</definedName>
    <definedName name="learners_tle_he_travelservices_m_g7">'[1]I. Table 5'!$T$30</definedName>
    <definedName name="learners_tle_he_travelservices_m_g8">'[1]I. Table 5'!$Z$30</definedName>
    <definedName name="learners_tle_he_travelservices_m_g9">'[1]I. Table 5'!$AF$30</definedName>
    <definedName name="learners_tle_he_wellness_f_g10">'[1]I. Table 5'!$AO$31</definedName>
    <definedName name="learners_tle_he_wellness_f_g7">'[1]I. Table 5'!$W$31</definedName>
    <definedName name="learners_tle_he_wellness_f_g8">'[1]I. Table 5'!$AC$31</definedName>
    <definedName name="learners_tle_he_wellness_f_g9">'[1]I. Table 5'!$AI$31</definedName>
    <definedName name="learners_tle_he_wellness_m_g10">'[1]I. Table 5'!$AL$31</definedName>
    <definedName name="learners_tle_he_wellness_m_g7">'[1]I. Table 5'!$T$31</definedName>
    <definedName name="learners_tle_he_wellness_m_g8">'[1]I. Table 5'!$Z$31</definedName>
    <definedName name="learners_tle_he_wellness_m_g9">'[1]I. Table 5'!$AF$31</definedName>
    <definedName name="learners_tle_ia_automotiveservicing_f_g10">'[1]I. Table 5 (cont.)'!$AO$10</definedName>
    <definedName name="learners_tle_ia_automotiveservicing_f_g7">'[1]I. Table 5 (cont.)'!$W$10</definedName>
    <definedName name="learners_tle_ia_automotiveservicing_f_g8">'[1]I. Table 5 (cont.)'!$AC$10</definedName>
    <definedName name="learners_tle_ia_automotiveservicing_f_g9">'[1]I. Table 5 (cont.)'!$AI$10</definedName>
    <definedName name="learners_tle_ia_automotiveservicing_m_g10">'[1]I. Table 5 (cont.)'!$AL$10</definedName>
    <definedName name="learners_tle_ia_automotiveservicing_m_g7">'[1]I. Table 5 (cont.)'!$T$10</definedName>
    <definedName name="learners_tle_ia_automotiveservicing_m_g8">'[1]I. Table 5 (cont.)'!$Z$10</definedName>
    <definedName name="learners_tle_ia_automotiveservicing_m_g9">'[1]I. Table 5 (cont.)'!$AF$10</definedName>
    <definedName name="learners_tle_ia_carpentry_f_g10">'[1]I. Table 5 (cont.)'!$AO$11</definedName>
    <definedName name="learners_tle_ia_carpentry_f_g7">'[1]I. Table 5 (cont.)'!$W$11</definedName>
    <definedName name="learners_tle_ia_carpentry_f_g8">'[1]I. Table 5 (cont.)'!$AC$11</definedName>
    <definedName name="learners_tle_ia_carpentry_f_g9">'[1]I. Table 5 (cont.)'!$AI$11</definedName>
    <definedName name="learners_tle_ia_carpentry_m_g10">'[1]I. Table 5 (cont.)'!$AL$11</definedName>
    <definedName name="learners_tle_ia_carpentry_m_g7">'[1]I. Table 5 (cont.)'!$T$11</definedName>
    <definedName name="learners_tle_ia_carpentry_m_g8">'[1]I. Table 5 (cont.)'!$Z$11</definedName>
    <definedName name="learners_tle_ia_carpentry_m_g9">'[1]I. Table 5 (cont.)'!$AF$11</definedName>
    <definedName name="learners_tle_ia_domrac_f_g10">'[1]I. Table 5 (cont.)'!$AO$12</definedName>
    <definedName name="learners_tle_ia_domrac_f_g7">'[1]I. Table 5 (cont.)'!$W$12</definedName>
    <definedName name="learners_tle_ia_domrac_f_g8">'[1]I. Table 5 (cont.)'!$AC$12</definedName>
    <definedName name="learners_tle_ia_domrac_f_g9">'[1]I. Table 5 (cont.)'!$AI$12</definedName>
    <definedName name="learners_tle_ia_domrac_m_g10">'[1]I. Table 5 (cont.)'!$AL$12</definedName>
    <definedName name="learners_tle_ia_domrac_m_g7">'[1]I. Table 5 (cont.)'!$T$12</definedName>
    <definedName name="learners_tle_ia_domrac_m_g8">'[1]I. Table 5 (cont.)'!$Z$12</definedName>
    <definedName name="learners_tle_ia_domrac_m_g9">'[1]I. Table 5 (cont.)'!$AF$12</definedName>
    <definedName name="learners_tle_ia_driving_f_g10">'[1]I. Table 5 (cont.)'!$AO$13</definedName>
    <definedName name="learners_tle_ia_driving_f_g7">'[1]I. Table 5 (cont.)'!$W$13</definedName>
    <definedName name="learners_tle_ia_driving_f_g8">'[1]I. Table 5 (cont.)'!$AC$13</definedName>
    <definedName name="learners_tle_ia_driving_f_g9">'[1]I. Table 5 (cont.)'!$AI$13</definedName>
    <definedName name="learners_tle_ia_driving_m_g10">'[1]I. Table 5 (cont.)'!$AL$13</definedName>
    <definedName name="learners_tle_ia_driving_m_g7">'[1]I. Table 5 (cont.)'!$T$13</definedName>
    <definedName name="learners_tle_ia_driving_m_g8">'[1]I. Table 5 (cont.)'!$Z$13</definedName>
    <definedName name="learners_tle_ia_driving_m_g9">'[1]I. Table 5 (cont.)'!$AF$13</definedName>
    <definedName name="learners_tle_ia_elecinstallation_f_g10">'[1]I. Table 5 (cont.)'!$AO$14</definedName>
    <definedName name="learners_tle_ia_elecinstallation_f_g7">'[1]I. Table 5 (cont.)'!$W$14</definedName>
    <definedName name="learners_tle_ia_elecinstallation_f_g8">'[1]I. Table 5 (cont.)'!$AC$14</definedName>
    <definedName name="learners_tle_ia_elecinstallation_f_g9">'[1]I. Table 5 (cont.)'!$AI$14</definedName>
    <definedName name="learners_tle_ia_elecinstallation_m_g10">'[1]I. Table 5 (cont.)'!$AL$14</definedName>
    <definedName name="learners_tle_ia_elecinstallation_m_g7">'[1]I. Table 5 (cont.)'!$T$14</definedName>
    <definedName name="learners_tle_ia_elecinstallation_m_g8">'[1]I. Table 5 (cont.)'!$Z$14</definedName>
    <definedName name="learners_tle_ia_elecinstallation_m_g9">'[1]I. Table 5 (cont.)'!$AF$14</definedName>
    <definedName name="learners_tle_ia_elecproduction_f_g10">'[1]I. Table 5 (cont.)'!$AO$15</definedName>
    <definedName name="learners_tle_ia_elecproduction_f_g7">'[1]I. Table 5 (cont.)'!$W$15</definedName>
    <definedName name="learners_tle_ia_elecproduction_f_g8">'[1]I. Table 5 (cont.)'!$AC$15</definedName>
    <definedName name="learners_tle_ia_elecproduction_f_g9">'[1]I. Table 5 (cont.)'!$AI$15</definedName>
    <definedName name="learners_tle_ia_elecproduction_m_g10">'[1]I. Table 5 (cont.)'!$AL$15</definedName>
    <definedName name="learners_tle_ia_elecproduction_m_g7">'[1]I. Table 5 (cont.)'!$T$15</definedName>
    <definedName name="learners_tle_ia_elecproduction_m_g8">'[1]I. Table 5 (cont.)'!$Z$15</definedName>
    <definedName name="learners_tle_ia_elecproduction_m_g9">'[1]I. Table 5 (cont.)'!$AF$15</definedName>
    <definedName name="learners_tle_ia_furnituremaking_f_g10">'[1]I. Table 5 (cont.)'!$AO$16</definedName>
    <definedName name="learners_tle_ia_furnituremaking_f_g7">'[1]I. Table 5 (cont.)'!$W$16</definedName>
    <definedName name="learners_tle_ia_furnituremaking_f_g8">'[1]I. Table 5 (cont.)'!$AC$16</definedName>
    <definedName name="learners_tle_ia_furnituremaking_f_g9">'[1]I. Table 5 (cont.)'!$AI$16</definedName>
    <definedName name="learners_tle_ia_furnituremaking_m_g10">'[1]I. Table 5 (cont.)'!$AL$16</definedName>
    <definedName name="learners_tle_ia_furnituremaking_m_g7">'[1]I. Table 5 (cont.)'!$T$16</definedName>
    <definedName name="learners_tle_ia_furnituremaking_m_g8">'[1]I. Table 5 (cont.)'!$Z$16</definedName>
    <definedName name="learners_tle_ia_furnituremaking_m_g9">'[1]I. Table 5 (cont.)'!$AF$16</definedName>
    <definedName name="learners_tle_ia_machining_f_g10">'[1]I. Table 5 (cont.)'!$AO$17</definedName>
    <definedName name="learners_tle_ia_machining_f_g7">'[1]I. Table 5 (cont.)'!$W$17</definedName>
    <definedName name="learners_tle_ia_machining_f_g8">'[1]I. Table 5 (cont.)'!$AC$17</definedName>
    <definedName name="learners_tle_ia_machining_f_g9">'[1]I. Table 5 (cont.)'!$AI$17</definedName>
    <definedName name="learners_tle_ia_machining_m_g10">'[1]I. Table 5 (cont.)'!$AL$17</definedName>
    <definedName name="learners_tle_ia_machining_m_g7">'[1]I. Table 5 (cont.)'!$T$17</definedName>
    <definedName name="learners_tle_ia_machining_m_g8">'[1]I. Table 5 (cont.)'!$Z$17</definedName>
    <definedName name="learners_tle_ia_machining_m_g9">'[1]I. Table 5 (cont.)'!$AF$17</definedName>
    <definedName name="learners_tle_ia_masonry_f_g10">'[1]I. Table 5 (cont.)'!$AO$18</definedName>
    <definedName name="learners_tle_ia_masonry_f_g7">'[1]I. Table 5 (cont.)'!$W$18</definedName>
    <definedName name="learners_tle_ia_masonry_f_g8">'[1]I. Table 5 (cont.)'!$AC$18</definedName>
    <definedName name="learners_tle_ia_masonry_f_g9">'[1]I. Table 5 (cont.)'!$AI$18</definedName>
    <definedName name="learners_tle_ia_masonry_m_g10">'[1]I. Table 5 (cont.)'!$AL$18</definedName>
    <definedName name="learners_tle_ia_masonry_m_g7">'[1]I. Table 5 (cont.)'!$T$18</definedName>
    <definedName name="learners_tle_ia_masonry_m_g8">'[1]I. Table 5 (cont.)'!$Z$18</definedName>
    <definedName name="learners_tle_ia_masonry_m_g9">'[1]I. Table 5 (cont.)'!$AF$18</definedName>
    <definedName name="learners_tle_ia_plumbing_f_g10">'[1]I. Table 5 (cont.)'!$AO$19</definedName>
    <definedName name="learners_tle_ia_plumbing_f_g7">'[1]I. Table 5 (cont.)'!$W$19</definedName>
    <definedName name="learners_tle_ia_plumbing_f_g8">'[1]I. Table 5 (cont.)'!$AC$19</definedName>
    <definedName name="learners_tle_ia_plumbing_f_g9">'[1]I. Table 5 (cont.)'!$AI$19</definedName>
    <definedName name="learners_tle_ia_plumbing_m_g10">'[1]I. Table 5 (cont.)'!$AL$19</definedName>
    <definedName name="learners_tle_ia_plumbing_m_g7">'[1]I. Table 5 (cont.)'!$T$19</definedName>
    <definedName name="learners_tle_ia_plumbing_m_g8">'[1]I. Table 5 (cont.)'!$Z$19</definedName>
    <definedName name="learners_tle_ia_plumbing_m_g9">'[1]I. Table 5 (cont.)'!$AF$19</definedName>
    <definedName name="learners_tle_ia_refnairconditioning_f_g10">'[1]I. Table 5 (cont.)'!$AO$20</definedName>
    <definedName name="learners_tle_ia_refnairconditioning_f_g7">'[1]I. Table 5 (cont.)'!$W$20</definedName>
    <definedName name="learners_tle_ia_refnairconditioning_f_g8">'[1]I. Table 5 (cont.)'!$AC$20</definedName>
    <definedName name="learners_tle_ia_refnairconditioning_f_g9">'[1]I. Table 5 (cont.)'!$AI$20</definedName>
    <definedName name="learners_tle_ia_refnairconditioning_m_g10">'[1]I. Table 5 (cont.)'!$AL$20</definedName>
    <definedName name="learners_tle_ia_refnairconditioning_m_g7">'[1]I. Table 5 (cont.)'!$T$20</definedName>
    <definedName name="learners_tle_ia_refnairconditioning_m_g8">'[1]I. Table 5 (cont.)'!$Z$20</definedName>
    <definedName name="learners_tle_ia_refnairconditioning_m_g9">'[1]I. Table 5 (cont.)'!$AF$20</definedName>
    <definedName name="learners_tle_ia_shieldedmetalwelding_f_g10">'[1]I. Table 5 (cont.)'!$AO$21</definedName>
    <definedName name="learners_tle_ia_shieldedmetalwelding_f_g7">'[1]I. Table 5 (cont.)'!$W$21</definedName>
    <definedName name="learners_tle_ia_shieldedmetalwelding_f_g8">'[1]I. Table 5 (cont.)'!$AC$21</definedName>
    <definedName name="learners_tle_ia_shieldedmetalwelding_f_g9">'[1]I. Table 5 (cont.)'!$AI$21</definedName>
    <definedName name="learners_tle_ia_shieldedmetalwelding_m_g10">'[1]I. Table 5 (cont.)'!$AL$21</definedName>
    <definedName name="learners_tle_ia_shieldedmetalwelding_m_g7">'[1]I. Table 5 (cont.)'!$T$21</definedName>
    <definedName name="learners_tle_ia_shieldedmetalwelding_m_g8">'[1]I. Table 5 (cont.)'!$Z$21</definedName>
    <definedName name="learners_tle_ia_shieldedmetalwelding_m_g9">'[1]I. Table 5 (cont.)'!$AF$21</definedName>
    <definedName name="learners_tle_ia_tilesetting_f_g10">'[1]I. Table 5 (cont.)'!$AO$22</definedName>
    <definedName name="learners_tle_ia_tilesetting_f_g7">'[1]I. Table 5 (cont.)'!$W$22</definedName>
    <definedName name="learners_tle_ia_tilesetting_f_g8">'[1]I. Table 5 (cont.)'!$AC$22</definedName>
    <definedName name="learners_tle_ia_tilesetting_f_g9">'[1]I. Table 5 (cont.)'!$AI$22</definedName>
    <definedName name="learners_tle_ia_tilesetting_m_g10">'[1]I. Table 5 (cont.)'!$AL$22</definedName>
    <definedName name="learners_tle_ia_tilesetting_m_g7">'[1]I. Table 5 (cont.)'!$T$22</definedName>
    <definedName name="learners_tle_ia_tilesetting_m_g8">'[1]I. Table 5 (cont.)'!$Z$22</definedName>
    <definedName name="learners_tle_ia_tilesetting_m_g9">'[1]I. Table 5 (cont.)'!$AF$22</definedName>
    <definedName name="learners_tle_ict_animation_f_g10">'[1]I. Table 5 (cont.)'!$AO$24</definedName>
    <definedName name="learners_tle_ict_animation_f_g7">'[1]I. Table 5 (cont.)'!$W$24</definedName>
    <definedName name="learners_tle_ict_animation_f_g8">'[1]I. Table 5 (cont.)'!$AC$24</definedName>
    <definedName name="learners_tle_ict_animation_f_g9">'[1]I. Table 5 (cont.)'!$AI$24</definedName>
    <definedName name="learners_tle_ict_animation_m_g10">'[1]I. Table 5 (cont.)'!$AL$24</definedName>
    <definedName name="learners_tle_ict_animation_m_g7">'[1]I. Table 5 (cont.)'!$T$24</definedName>
    <definedName name="learners_tle_ict_animation_m_g8">'[1]I. Table 5 (cont.)'!$Z$24</definedName>
    <definedName name="learners_tle_ict_animation_m_g9">'[1]I. Table 5 (cont.)'!$AF$24</definedName>
    <definedName name="learners_tle_ict_compprogjava_f_g10">'[1]I. Table 5 (cont.)'!$AO$26</definedName>
    <definedName name="learners_tle_ict_compprogjava_f_g7">'[1]I. Table 5 (cont.)'!$W$26</definedName>
    <definedName name="learners_tle_ict_compprogjava_f_g8">'[1]I. Table 5 (cont.)'!$AC$26</definedName>
    <definedName name="learners_tle_ict_compprogjava_f_g9">'[1]I. Table 5 (cont.)'!$AI$26</definedName>
    <definedName name="learners_tle_ict_compprogjava_m_g10">'[1]I. Table 5 (cont.)'!$AL$26</definedName>
    <definedName name="learners_tle_ict_compprogjava_m_g7">'[1]I. Table 5 (cont.)'!$T$26</definedName>
    <definedName name="learners_tle_ict_compprogjava_m_g8">'[1]I. Table 5 (cont.)'!$Z$26</definedName>
    <definedName name="learners_tle_ict_compprogjava_m_g9">'[1]I. Table 5 (cont.)'!$AF$26</definedName>
    <definedName name="learners_tle_ict_compprognt_f_g10">'[1]I. Table 5 (cont.)'!$AO$25</definedName>
    <definedName name="learners_tle_ict_compprognt_f_g7">'[1]I. Table 5 (cont.)'!$W$25</definedName>
    <definedName name="learners_tle_ict_compprognt_f_g8">'[1]I. Table 5 (cont.)'!$AC$25</definedName>
    <definedName name="learners_tle_ict_compprognt_f_g9">'[1]I. Table 5 (cont.)'!$AI$25</definedName>
    <definedName name="learners_tle_ict_compprognt_m_g10">'[1]I. Table 5 (cont.)'!$AL$25</definedName>
    <definedName name="learners_tle_ict_compprognt_m_g7">'[1]I. Table 5 (cont.)'!$T$25</definedName>
    <definedName name="learners_tle_ict_compprognt_m_g8">'[1]I. Table 5 (cont.)'!$Z$25</definedName>
    <definedName name="learners_tle_ict_compprognt_m_g9">'[1]I. Table 5 (cont.)'!$AF$25</definedName>
    <definedName name="learners_tle_ict_compprogoracle_f_g10">'[1]I. Table 5 (cont.)'!$AO$27</definedName>
    <definedName name="learners_tle_ict_compprogoracle_f_g7">'[1]I. Table 5 (cont.)'!$W$27</definedName>
    <definedName name="learners_tle_ict_compprogoracle_f_g8">'[1]I. Table 5 (cont.)'!$AC$27</definedName>
    <definedName name="learners_tle_ict_compprogoracle_f_g9">'[1]I. Table 5 (cont.)'!$AI$27</definedName>
    <definedName name="learners_tle_ict_compprogoracle_m_g10">'[1]I. Table 5 (cont.)'!$AL$27</definedName>
    <definedName name="learners_tle_ict_compprogoracle_m_g7">'[1]I. Table 5 (cont.)'!$T$27</definedName>
    <definedName name="learners_tle_ict_compprogoracle_m_g8">'[1]I. Table 5 (cont.)'!$Z$27</definedName>
    <definedName name="learners_tle_ict_compprogoracle_m_g9">'[1]I. Table 5 (cont.)'!$AF$27</definedName>
    <definedName name="learners_tle_ict_compsystemservicing_f_g10">'[1]I. Table 5 (cont.)'!$AO$28</definedName>
    <definedName name="learners_tle_ict_compsystemservicing_f_g7">'[1]I. Table 5 (cont.)'!$W$28</definedName>
    <definedName name="learners_tle_ict_compsystemservicing_f_g8">'[1]I. Table 5 (cont.)'!$AC$28</definedName>
    <definedName name="learners_tle_ict_compsystemservicing_f_g9">'[1]I. Table 5 (cont.)'!$AI$28</definedName>
    <definedName name="learners_tle_ict_compsystemservicing_m_g10">'[1]I. Table 5 (cont.)'!$AL$28</definedName>
    <definedName name="learners_tle_ict_compsystemservicing_m_g7">'[1]I. Table 5 (cont.)'!$T$28</definedName>
    <definedName name="learners_tle_ict_compsystemservicing_m_g8">'[1]I. Table 5 (cont.)'!$Z$28</definedName>
    <definedName name="learners_tle_ict_compsystemservicing_m_g9">'[1]I. Table 5 (cont.)'!$AF$28</definedName>
    <definedName name="learners_tle_ict_contactcenterservices_f_g10">'[1]I. Table 5 (cont.)'!$AO$29</definedName>
    <definedName name="learners_tle_ict_contactcenterservices_f_g7">'[1]I. Table 5 (cont.)'!$W$29</definedName>
    <definedName name="learners_tle_ict_contactcenterservices_f_g8">'[1]I. Table 5 (cont.)'!$AC$29</definedName>
    <definedName name="learners_tle_ict_contactcenterservices_f_g9">'[1]I. Table 5 (cont.)'!$AI$29</definedName>
    <definedName name="learners_tle_ict_contactcenterservices_m_g10">'[1]I. Table 5 (cont.)'!$AL$29</definedName>
    <definedName name="learners_tle_ict_contactcenterservices_m_g7">'[1]I. Table 5 (cont.)'!$T$29</definedName>
    <definedName name="learners_tle_ict_contactcenterservices_m_g8">'[1]I. Table 5 (cont.)'!$Z$29</definedName>
    <definedName name="learners_tle_ict_contactcenterservices_m_g9">'[1]I. Table 5 (cont.)'!$AF$29</definedName>
    <definedName name="learners_tle_ict_illustration_f_g10">'[1]I. Table 5 (cont.)'!$AO$30</definedName>
    <definedName name="learners_tle_ict_illustration_f_g7">'[1]I. Table 5 (cont.)'!$W$30</definedName>
    <definedName name="learners_tle_ict_illustration_f_g8">'[1]I. Table 5 (cont.)'!$AC$30</definedName>
    <definedName name="learners_tle_ict_illustration_f_g9">'[1]I. Table 5 (cont.)'!$AI$30</definedName>
    <definedName name="learners_tle_ict_illustration_m_g10">'[1]I. Table 5 (cont.)'!$AL$30</definedName>
    <definedName name="learners_tle_ict_illustration_m_g7">'[1]I. Table 5 (cont.)'!$T$30</definedName>
    <definedName name="learners_tle_ict_illustration_m_g8">'[1]I. Table 5 (cont.)'!$Z$30</definedName>
    <definedName name="learners_tle_ict_illustration_m_g9">'[1]I. Table 5 (cont.)'!$AF$30</definedName>
    <definedName name="learners_tle_ict_medtrans_f_g10">'[1]I. Table 5 (cont.)'!$AO$31</definedName>
    <definedName name="learners_tle_ict_medtrans_f_g7">'[1]I. Table 5 (cont.)'!$W$31</definedName>
    <definedName name="learners_tle_ict_medtrans_f_g8">'[1]I. Table 5 (cont.)'!$AC$31</definedName>
    <definedName name="learners_tle_ict_medtrans_f_g9">'[1]I. Table 5 (cont.)'!$AI$31</definedName>
    <definedName name="learners_tle_ict_medtrans_m_g10">'[1]I. Table 5 (cont.)'!$AL$31</definedName>
    <definedName name="learners_tle_ict_medtrans_m_g7">'[1]I. Table 5 (cont.)'!$T$31</definedName>
    <definedName name="learners_tle_ict_medtrans_m_g8">'[1]I. Table 5 (cont.)'!$Z$31</definedName>
    <definedName name="learners_tle_ict_medtrans_m_g9">'[1]I. Table 5 (cont.)'!$AF$31</definedName>
    <definedName name="learners_tle_ict_techdrafting_f_g10">'[1]I. Table 5 (cont.)'!$AO$32</definedName>
    <definedName name="learners_tle_ict_techdrafting_f_g7">'[1]I. Table 5 (cont.)'!$W$32</definedName>
    <definedName name="learners_tle_ict_techdrafting_f_g8">'[1]I. Table 5 (cont.)'!$AC$32</definedName>
    <definedName name="learners_tle_ict_techdrafting_f_g9">'[1]I. Table 5 (cont.)'!$AI$32</definedName>
    <definedName name="learners_tle_ict_techdrafting_m_g10">'[1]I. Table 5 (cont.)'!$AL$32</definedName>
    <definedName name="learners_tle_ict_techdrafting_m_g7">'[1]I. Table 5 (cont.)'!$T$32</definedName>
    <definedName name="learners_tle_ict_techdrafting_m_g8">'[1]I. Table 5 (cont.)'!$Z$32</definedName>
    <definedName name="learners_tle_ict_techdrafting_m_g9">'[1]I. Table 5 (cont.)'!$AF$32</definedName>
    <definedName name="lhas_cars_facility_es" localSheetId="0">'IX. Box 1'!$AB$27</definedName>
    <definedName name="lhas_cars_facility_jhs" localSheetId="0">'IX. Box 1'!$AB$41</definedName>
    <definedName name="lhas_cars_facility_shs" localSheetId="0">'IX. Box 1'!$AB$55</definedName>
    <definedName name="lhas_cars_learners_assessed_es" localSheetId="0">'IX. Box 1'!$X$27</definedName>
    <definedName name="lhas_cars_learners_assessed_jhs" localSheetId="0">'IX. Box 1'!$X$41</definedName>
    <definedName name="lhas_cars_learners_assessed_shs" localSheetId="0">'IX. Box 1'!$X$55</definedName>
    <definedName name="lhas_cars_learners_masterlist_es" localSheetId="0">'IX. Box 1'!$P$27</definedName>
    <definedName name="lhas_cars_learners_masterlist_jhs" localSheetId="0">'IX. Box 1'!$P$41</definedName>
    <definedName name="lhas_cars_learners_masterlist_shs" localSheetId="0">'IX. Box 1'!$P$55</definedName>
    <definedName name="lhas_cars_learners_screening_es" localSheetId="0">'IX. Box 1'!$T$27</definedName>
    <definedName name="lhas_cars_learners_screening_jhs" localSheetId="0">'IX. Box 1'!$T$41</definedName>
    <definedName name="lhas_cars_learners_screening_shs" localSheetId="0">'IX. Box 1'!$T$55</definedName>
    <definedName name="lhas_cars_lgudoh_es" localSheetId="0">'IX. Box 1'!$AF$27</definedName>
    <definedName name="lhas_cars_lgudoh_jhs" localSheetId="0">'IX. Box 1'!$AF$41</definedName>
    <definedName name="lhas_cars_lgudoh_shs" localSheetId="0">'IX. Box 1'!$AF$55</definedName>
    <definedName name="lhas_cars_others_es" localSheetId="0">'IX. Box 1'!$AN$27</definedName>
    <definedName name="lhas_cars_others_jhs" localSheetId="0">'IX. Box 1'!$AN$41</definedName>
    <definedName name="lhas_cars_others_shs" localSheetId="0">'IX. Box 1'!$AN$55</definedName>
    <definedName name="lhas_cars_private_es" localSheetId="0">'IX. Box 1'!$AJ$27</definedName>
    <definedName name="lhas_cars_private_jhs" localSheetId="0">'IX. Box 1'!$AJ$41</definedName>
    <definedName name="lhas_cars_private_shs" localSheetId="0">'IX. Box 1'!$AJ$55</definedName>
    <definedName name="lhas_heeadsss_facility_es" localSheetId="0">'IX. Box 1'!$AB$29</definedName>
    <definedName name="lhas_heeadsss_facility_jhs" localSheetId="0">'IX. Box 1'!$AB$43</definedName>
    <definedName name="lhas_heeadsss_facility_shs" localSheetId="0">'IX. Box 1'!$AB$57</definedName>
    <definedName name="lhas_heeadsss_learners_assessed_es" localSheetId="0">'IX. Box 1'!$X$29</definedName>
    <definedName name="lhas_heeadsss_learners_assessed_jhs" localSheetId="0">'IX. Box 1'!$X$43</definedName>
    <definedName name="lhas_heeadsss_learners_assessed_shs" localSheetId="0">'IX. Box 1'!$X$57</definedName>
    <definedName name="lhas_heeadsss_learners_masterlist_es" localSheetId="0">'IX. Box 1'!$P$29</definedName>
    <definedName name="lhas_heeadsss_learners_masterlist_jhs" localSheetId="0">'IX. Box 1'!$P$43</definedName>
    <definedName name="lhas_heeadsss_learners_masterlist_shs" localSheetId="0">'IX. Box 1'!$P$57</definedName>
    <definedName name="lhas_heeadsss_learners_screening_es" localSheetId="0">'IX. Box 1'!$T$29</definedName>
    <definedName name="lhas_heeadsss_learners_screening_jhs" localSheetId="0">'IX. Box 1'!$T$43</definedName>
    <definedName name="lhas_heeadsss_learners_screening_shs" localSheetId="0">'IX. Box 1'!$T$57</definedName>
    <definedName name="lhas_heeadsss_lgudoh_es" localSheetId="0">'IX. Box 1'!$AF$29</definedName>
    <definedName name="lhas_heeadsss_lgudoh_jhs" localSheetId="0">'IX. Box 1'!$AF$43</definedName>
    <definedName name="lhas_heeadsss_lgudoh_shs" localSheetId="0">'IX. Box 1'!$AF$57</definedName>
    <definedName name="lhas_heeadsss_others_es" localSheetId="0">'IX. Box 1'!$AN$29</definedName>
    <definedName name="lhas_heeadsss_others_jhs" localSheetId="0">'IX. Box 1'!$AN$43</definedName>
    <definedName name="lhas_heeadsss_others_shs" localSheetId="0">'IX. Box 1'!$AN$57</definedName>
    <definedName name="lhas_heeadsss_private_es" localSheetId="0">'IX. Box 1'!$AJ$29</definedName>
    <definedName name="lhas_heeadsss_private_jhs" localSheetId="0">'IX. Box 1'!$AJ$43</definedName>
    <definedName name="lhas_heeadsss_private_shs" localSheetId="0">'IX. Box 1'!$AJ$57</definedName>
    <definedName name="lhas_hhighta_facility_es" localSheetId="0">'IX. Box 1'!$AB$22</definedName>
    <definedName name="lhas_hhighta_facility_jhs" localSheetId="0">'IX. Box 1'!$AB$36</definedName>
    <definedName name="lhas_hhighta_facility_shs" localSheetId="0">'IX. Box 1'!$AB$50</definedName>
    <definedName name="lhas_hhighta_learners_assessed_es" localSheetId="0">'IX. Box 1'!$X$22</definedName>
    <definedName name="lhas_hhighta_learners_assessed_jhs" localSheetId="0">'IX. Box 1'!$X$36</definedName>
    <definedName name="lhas_hhighta_learners_assessed_shs" localSheetId="0">'IX. Box 1'!$X$50</definedName>
    <definedName name="lhas_hhighta_learners_masterlist_es" localSheetId="0">'IX. Box 1'!$P$22</definedName>
    <definedName name="lhas_hhighta_learners_masterlist_jhs" localSheetId="0">'IX. Box 1'!$P$36</definedName>
    <definedName name="lhas_hhighta_learners_masterlist_shs" localSheetId="0">'IX. Box 1'!$P$50</definedName>
    <definedName name="lhas_hhighta_learners_screening_es" localSheetId="0">'IX. Box 1'!$T$22</definedName>
    <definedName name="lhas_hhighta_learners_screening_jhs" localSheetId="0">'IX. Box 1'!$T$36</definedName>
    <definedName name="lhas_hhighta_learners_screening_shs" localSheetId="0">'IX. Box 1'!$T$50</definedName>
    <definedName name="lhas_hhighta_lgudoh_es" localSheetId="0">'IX. Box 1'!$AF$22</definedName>
    <definedName name="lhas_hhighta_lgudoh_jhs" localSheetId="0">'IX. Box 1'!$AF$36</definedName>
    <definedName name="lhas_hhighta_lgudoh_shs" localSheetId="0">'IX. Box 1'!$AF$50</definedName>
    <definedName name="lhas_hhighta_others_es" localSheetId="0">'IX. Box 1'!$AN$22</definedName>
    <definedName name="lhas_hhighta_others_jhs" localSheetId="0">'IX. Box 1'!$AN$36</definedName>
    <definedName name="lhas_hhighta_others_shs" localSheetId="0">'IX. Box 1'!$AN$50</definedName>
    <definedName name="lhas_hhighta_private_es" localSheetId="0">'IX. Box 1'!$AJ$22</definedName>
    <definedName name="lhas_hhighta_private_jhs" localSheetId="0">'IX. Box 1'!$AJ$36</definedName>
    <definedName name="lhas_hhighta_private_shs" localSheetId="0">'IX. Box 1'!$AJ$50</definedName>
    <definedName name="lhas_hs_facility_es" localSheetId="0">'IX. Box 1'!$AB$25</definedName>
    <definedName name="lhas_hs_facility_jhs" localSheetId="0">'IX. Box 1'!$AB$39</definedName>
    <definedName name="lhas_hs_facility_shs" localSheetId="0">'IX. Box 1'!$AB$53</definedName>
    <definedName name="lhas_hs_learners_assessed_es" localSheetId="0">'IX. Box 1'!$X$25</definedName>
    <definedName name="lhas_hs_learners_assessed_jhs" localSheetId="0">'IX. Box 1'!$X$39</definedName>
    <definedName name="lhas_hs_learners_assessed_shs" localSheetId="0">'IX. Box 1'!$X$53</definedName>
    <definedName name="lhas_hs_learners_masterlist_es" localSheetId="0">'IX. Box 1'!$P$25</definedName>
    <definedName name="lhas_hs_learners_masterlist_jhs" localSheetId="0">'IX. Box 1'!$P$39</definedName>
    <definedName name="lhas_hs_learners_masterlist_shs" localSheetId="0">'IX. Box 1'!$P$53</definedName>
    <definedName name="lhas_hs_learners_screening_es" localSheetId="0">'IX. Box 1'!$T$25</definedName>
    <definedName name="lhas_hs_learners_screening_jhs" localSheetId="0">'IX. Box 1'!$T$39</definedName>
    <definedName name="lhas_hs_learners_screening_shs" localSheetId="0">'IX. Box 1'!$T$53</definedName>
    <definedName name="lhas_hs_lgudoh_es" localSheetId="0">'IX. Box 1'!$AF$25</definedName>
    <definedName name="lhas_hs_lgudoh_jhs" localSheetId="0">'IX. Box 1'!$AF$39</definedName>
    <definedName name="lhas_hs_lgudoh_shs" localSheetId="0">'IX. Box 1'!$AF$53</definedName>
    <definedName name="lhas_hs_others_es" localSheetId="0">'IX. Box 1'!$AN$25</definedName>
    <definedName name="lhas_hs_others_jhs" localSheetId="0">'IX. Box 1'!$AN$39</definedName>
    <definedName name="lhas_hs_others_shs" localSheetId="0">'IX. Box 1'!$AN$53</definedName>
    <definedName name="lhas_hs_private_es" localSheetId="0">'IX. Box 1'!$AJ$25</definedName>
    <definedName name="lhas_hs_private_jhs" localSheetId="0">'IX. Box 1'!$AJ$39</definedName>
    <definedName name="lhas_hs_private_shs" localSheetId="0">'IX. Box 1'!$AJ$53</definedName>
    <definedName name="lhas_na_facility_es" localSheetId="0">'IX. Box 1'!$AB$21</definedName>
    <definedName name="lhas_na_facility_jhs" localSheetId="0">'IX. Box 1'!$AB$35</definedName>
    <definedName name="lhas_na_facility_shs" localSheetId="0">'IX. Box 1'!$AB$49</definedName>
    <definedName name="lhas_na_learners_assessed_es" localSheetId="0">'IX. Box 1'!$X$21</definedName>
    <definedName name="lhas_na_learners_assessed_jhs" localSheetId="0">'IX. Box 1'!$X$35</definedName>
    <definedName name="lhas_na_learners_assessed_shs" localSheetId="0">'IX. Box 1'!$X$49</definedName>
    <definedName name="lhas_na_learners_masterlist_es" localSheetId="0">'IX. Box 1'!$P$21</definedName>
    <definedName name="lhas_na_learners_masterlist_jhs" localSheetId="0">'IX. Box 1'!$P$35</definedName>
    <definedName name="lhas_na_learners_masterlist_shs" localSheetId="0">'IX. Box 1'!$P$49</definedName>
    <definedName name="lhas_na_learners_screening_es" localSheetId="0">'IX. Box 1'!$T$21</definedName>
    <definedName name="lhas_na_learners_screening_jhs" localSheetId="0">'IX. Box 1'!$T$35</definedName>
    <definedName name="lhas_na_learners_screening_shs" localSheetId="0">'IX. Box 1'!$T$49</definedName>
    <definedName name="lhas_na_lgudoh_es" localSheetId="0">'IX. Box 1'!$AF$21</definedName>
    <definedName name="lhas_na_lgudoh_jhs" localSheetId="0">'IX. Box 1'!$AF$35</definedName>
    <definedName name="lhas_na_lgudoh_shs" localSheetId="0">'IX. Box 1'!$AF$49</definedName>
    <definedName name="lhas_na_others_es" localSheetId="0">'IX. Box 1'!$AN$21</definedName>
    <definedName name="lhas_na_others_jhs" localSheetId="0">'IX. Box 1'!$AN$35</definedName>
    <definedName name="lhas_na_others_shs" localSheetId="0">'IX. Box 1'!$AN$49</definedName>
    <definedName name="lhas_na_private_es" localSheetId="0">'IX. Box 1'!$AJ$21</definedName>
    <definedName name="lhas_na_private_jhs" localSheetId="0">'IX. Box 1'!$AJ$35</definedName>
    <definedName name="lhas_na_private_shs" localSheetId="0">'IX. Box 1'!$AJ$49</definedName>
    <definedName name="lhas_oha_facility_es" localSheetId="0">'IX. Box 1'!$AB$26</definedName>
    <definedName name="lhas_oha_facility_jhs" localSheetId="0">'IX. Box 1'!$AB$40</definedName>
    <definedName name="lhas_oha_facility_shs" localSheetId="0">'IX. Box 1'!$AB$54</definedName>
    <definedName name="lhas_oha_learners_assessed_es" localSheetId="0">'IX. Box 1'!$X$26</definedName>
    <definedName name="lhas_oha_learners_assessed_jhs" localSheetId="0">'IX. Box 1'!$X$40</definedName>
    <definedName name="lhas_oha_learners_assessed_shs" localSheetId="0">'IX. Box 1'!$X$54</definedName>
    <definedName name="lhas_oha_learners_masterlist_es" localSheetId="0">'IX. Box 1'!$P$26</definedName>
    <definedName name="lhas_oha_learners_masterlist_jhs" localSheetId="0">'IX. Box 1'!$P$40</definedName>
    <definedName name="lhas_oha_learners_masterlist_shs" localSheetId="0">'IX. Box 1'!$P$54</definedName>
    <definedName name="lhas_oha_learners_screening_es" localSheetId="0">'IX. Box 1'!$T$26</definedName>
    <definedName name="lhas_oha_learners_screening_jhs" localSheetId="0">'IX. Box 1'!$T$40</definedName>
    <definedName name="lhas_oha_learners_screening_shs" localSheetId="0">'IX. Box 1'!$T$54</definedName>
    <definedName name="lhas_oha_lgudoh_es" localSheetId="0">'IX. Box 1'!$AF$26</definedName>
    <definedName name="lhas_oha_lgudoh_jhs" localSheetId="0">'IX. Box 1'!$AF$40</definedName>
    <definedName name="lhas_oha_lgudoh_shs" localSheetId="0">'IX. Box 1'!$AF$54</definedName>
    <definedName name="lhas_oha_others_es" localSheetId="0">'IX. Box 1'!$AN$26</definedName>
    <definedName name="lhas_oha_others_jhs" localSheetId="0">'IX. Box 1'!$AN$40</definedName>
    <definedName name="lhas_oha_others_shs" localSheetId="0">'IX. Box 1'!$AN$54</definedName>
    <definedName name="lhas_oha_private_es" localSheetId="0">'IX. Box 1'!$AJ$26</definedName>
    <definedName name="lhas_oha_private_jhs" localSheetId="0">'IX. Box 1'!$AJ$40</definedName>
    <definedName name="lhas_oha_private_shs" localSheetId="0">'IX. Box 1'!$AJ$54</definedName>
    <definedName name="lhas_vs_facility_es" localSheetId="0">'IX. Box 1'!$AB$24</definedName>
    <definedName name="lhas_vs_facility_jhs" localSheetId="0">'IX. Box 1'!$AB$38</definedName>
    <definedName name="lhas_vs_facility_shs" localSheetId="0">'IX. Box 1'!$AB$52</definedName>
    <definedName name="lhas_vs_learners_assessed_es" localSheetId="0">'IX. Box 1'!$X$24</definedName>
    <definedName name="lhas_vs_learners_assessed_jhs" localSheetId="0">'IX. Box 1'!$X$38</definedName>
    <definedName name="lhas_vs_learners_assessed_shs" localSheetId="0">'IX. Box 1'!$X$52</definedName>
    <definedName name="lhas_vs_learners_masterlist_es" localSheetId="0">'IX. Box 1'!$P$24</definedName>
    <definedName name="lhas_vs_learners_masterlist_jhs" localSheetId="0">'IX. Box 1'!$P$38</definedName>
    <definedName name="lhas_vs_learners_masterlist_shs" localSheetId="0">'IX. Box 1'!$P$52</definedName>
    <definedName name="lhas_vs_learners_screening_es" localSheetId="0">'IX. Box 1'!$T$24</definedName>
    <definedName name="lhas_vs_learners_screening_jhs" localSheetId="0">'IX. Box 1'!$T$38</definedName>
    <definedName name="lhas_vs_learners_screening_shs" localSheetId="0">'IX. Box 1'!$T$52</definedName>
    <definedName name="lhas_vs_lgudoh_es" localSheetId="0">'IX. Box 1'!$AF$24</definedName>
    <definedName name="lhas_vs_lgudoh_jhs" localSheetId="0">'IX. Box 1'!$AF$38</definedName>
    <definedName name="lhas_vs_lgudoh_shs" localSheetId="0">'IX. Box 1'!$AF$52</definedName>
    <definedName name="lhas_vs_others_es" localSheetId="0">'IX. Box 1'!$AN$24</definedName>
    <definedName name="lhas_vs_others_jhs" localSheetId="0">'IX. Box 1'!$AN$38</definedName>
    <definedName name="lhas_vs_others_shs" localSheetId="0">'IX. Box 1'!$AN$52</definedName>
    <definedName name="lhas_vs_private_es" localSheetId="0">'IX. Box 1'!$AJ$24</definedName>
    <definedName name="lhas_vs_private_jhs" localSheetId="0">'IX. Box 1'!$AJ$38</definedName>
    <definedName name="lhas_vs_private_shs" localSheetId="0">'IX. Box 1'!$AJ$52</definedName>
    <definedName name="local_adas_avg">'[1]IV. Tables 7 &amp; 8'!$R$15</definedName>
    <definedName name="local_adas_lgu">'[1]IV. Tables 7 &amp; 8'!$AG$15</definedName>
    <definedName name="local_adas_sef_mun_city">'[1]IV. Tables 7 &amp; 8'!$AB$15</definedName>
    <definedName name="local_adas_sef_prov">'[1]IV. Tables 7 &amp; 8'!$W$15</definedName>
    <definedName name="local_advocate_avg">'[1]IV. Tables 7 &amp; 8'!$R$25</definedName>
    <definedName name="local_advocate_lgu">'[1]IV. Tables 7 &amp; 8'!$AG$25</definedName>
    <definedName name="local_advocate_sef_mun_city">'[1]IV. Tables 7 &amp; 8'!$AB$25</definedName>
    <definedName name="local_advocate_sef_prov">'[1]IV. Tables 7 &amp; 8'!$W$25</definedName>
    <definedName name="local_aide_avg">'[1]IV. Tables 7 &amp; 8'!$R$16</definedName>
    <definedName name="local_aide_lgu">'[1]IV. Tables 7 &amp; 8'!$AG$16</definedName>
    <definedName name="local_aide_sef_mun_city">'[1]IV. Tables 7 &amp; 8'!$AB$16</definedName>
    <definedName name="local_aide_sef_prov">'[1]IV. Tables 7 &amp; 8'!$W$16</definedName>
    <definedName name="local_ao_avg">'[1]IV. Tables 7 &amp; 8'!$R$14</definedName>
    <definedName name="local_ao_lgu">'[1]IV. Tables 7 &amp; 8'!$AG$14</definedName>
    <definedName name="local_ao_sef_mun_city">'[1]IV. Tables 7 &amp; 8'!$AB$14</definedName>
    <definedName name="local_ao_sef_prov">'[1]IV. Tables 7 &amp; 8'!$W$14</definedName>
    <definedName name="local_araltutors_avg">'[1]IV. Tables 7 &amp; 8'!$R$13</definedName>
    <definedName name="local_araltutors_lgu">'[1]IV. Tables 7 &amp; 8'!$AG$13</definedName>
    <definedName name="local_araltutors_sef_mun_city">'[1]IV. Tables 7 &amp; 8'!$AB$13</definedName>
    <definedName name="local_araltutors_sef_prov">'[1]IV. Tables 7 &amp; 8'!$W$13</definedName>
    <definedName name="local_counselor_avg">'[1]IV. Tables 7 &amp; 8'!$R$24</definedName>
    <definedName name="local_counselor_lgu">'[1]IV. Tables 7 &amp; 8'!$AG$24</definedName>
    <definedName name="local_counselor_sef_mun_city">'[1]IV. Tables 7 &amp; 8'!$AB$24</definedName>
    <definedName name="local_counselor_sef_prov">'[1]IV. Tables 7 &amp; 8'!$W$24</definedName>
    <definedName name="local_dentist_avg">'[1]IV. Tables 7 &amp; 8'!$R$19</definedName>
    <definedName name="local_dentist_lgu">'[1]IV. Tables 7 &amp; 8'!$AG$19</definedName>
    <definedName name="local_dentist_sef_mun_city">'[1]IV. Tables 7 &amp; 8'!$AB$19</definedName>
    <definedName name="local_dentist_sef_prov">'[1]IV. Tables 7 &amp; 8'!$W$19</definedName>
    <definedName name="local_ict_avg">'[1]IV. Tables 7 &amp; 8'!$R$26</definedName>
    <definedName name="local_ict_lgu">'[1]IV. Tables 7 &amp; 8'!$AG$26</definedName>
    <definedName name="local_ict_sef_mun_city">'[1]IV. Tables 7 &amp; 8'!$AB$26</definedName>
    <definedName name="local_ict_sef_prov">'[1]IV. Tables 7 &amp; 8'!$W$26</definedName>
    <definedName name="local_laide_avg">'[1]IV. Tables 7 &amp; 8'!$R$23</definedName>
    <definedName name="local_laide_lgu">'[1]IV. Tables 7 &amp; 8'!$AG$23</definedName>
    <definedName name="local_laide_sef_mun_city">'[1]IV. Tables 7 &amp; 8'!$AB$23</definedName>
    <definedName name="local_laide_sef_prov">'[1]IV. Tables 7 &amp; 8'!$W$23</definedName>
    <definedName name="local_lib_avg">'[1]IV. Tables 7 &amp; 8'!$R$22</definedName>
    <definedName name="local_lib_lgu">'[1]IV. Tables 7 &amp; 8'!$AG$22</definedName>
    <definedName name="local_lib_sef_mun_city">'[1]IV. Tables 7 &amp; 8'!$AB$22</definedName>
    <definedName name="local_lib_sef_prov">'[1]IV. Tables 7 &amp; 8'!$W$22</definedName>
    <definedName name="local_lsa_avg">'[1]IV. Tables 7 &amp; 8'!$R$12</definedName>
    <definedName name="local_lsa_lgu">'[1]IV. Tables 7 &amp; 8'!$AG$12</definedName>
    <definedName name="local_lsa_sef_mun_city">'[1]IV. Tables 7 &amp; 8'!$AB$12</definedName>
    <definedName name="local_lsa_sef_prov">'[1]IV. Tables 7 &amp; 8'!$W$12</definedName>
    <definedName name="local_medical_avg">'[1]IV. Tables 7 &amp; 8'!$R$18</definedName>
    <definedName name="local_medical_lgu">'[1]IV. Tables 7 &amp; 8'!$AG$18</definedName>
    <definedName name="local_medical_sef_mun_city">'[1]IV. Tables 7 &amp; 8'!$AB$18</definedName>
    <definedName name="local_medical_sef_prov">'[1]IV. Tables 7 &amp; 8'!$W$18</definedName>
    <definedName name="local_naide_avg">'[1]IV. Tables 7 &amp; 8'!$R$21</definedName>
    <definedName name="local_naide_lgu">'[1]IV. Tables 7 &amp; 8'!$AG$21</definedName>
    <definedName name="local_naide_sef_mun_city">'[1]IV. Tables 7 &amp; 8'!$AB$21</definedName>
    <definedName name="local_naide_sef_prov">'[1]IV. Tables 7 &amp; 8'!$W$21</definedName>
    <definedName name="local_nurse_avg">'[1]IV. Tables 7 &amp; 8'!$R$20</definedName>
    <definedName name="local_nurse_lgu">'[1]IV. Tables 7 &amp; 8'!$AG$20</definedName>
    <definedName name="local_nurse_sef_mun_city">'[1]IV. Tables 7 &amp; 8'!$AB$20</definedName>
    <definedName name="local_nurse_sef_prov">'[1]IV. Tables 7 &amp; 8'!$W$20</definedName>
    <definedName name="local_pdo_avg">'[1]IV. Tables 7 &amp; 8'!$R$17</definedName>
    <definedName name="local_pdo_lgu">'[1]IV. Tables 7 &amp; 8'!$AG$17</definedName>
    <definedName name="local_pdo_sef_mun_city">'[1]IV. Tables 7 &amp; 8'!$AB$17</definedName>
    <definedName name="local_pdo_sef_prov">'[1]IV. Tables 7 &amp; 8'!$W$17</definedName>
    <definedName name="locfundteach_lgu">'[1]IV. Tables 7 &amp; 8'!$AC$56</definedName>
    <definedName name="locfundteach_sef_muni">'[1]IV. Tables 7 &amp; 8'!$W$56</definedName>
    <definedName name="locfundteach_sef_prov">'[1]IV. Tables 7 &amp; 8'!$Q$56</definedName>
    <definedName name="locfundteach_total">'[1]IV. Tables 7 &amp; 8'!$AI$56</definedName>
    <definedName name="lrp_abuse_physical_lrnrs_wandwo_f_es">'[1]X. Box 2 (item 1)'!$X$54</definedName>
    <definedName name="lrp_abuse_physical_lrnrs_wandwo_f_jhs">'[1]X. Box 2 (item 1)'!$AR$54</definedName>
    <definedName name="lrp_abuse_physical_lrnrs_wandwo_f_shs">'[1]X. Box 2 (item 1)'!$BL$54</definedName>
    <definedName name="lrp_abuse_physical_lrnrs_wandwo_m_es">'[1]X. Box 2 (item 1)'!$T$54</definedName>
    <definedName name="lrp_abuse_physical_lrnrs_wandwo_m_jhs">'[1]X. Box 2 (item 1)'!$AN$54</definedName>
    <definedName name="lrp_abuse_physical_lrnrs_wandwo_m_shs">'[1]X. Box 2 (item 1)'!$BH$54</definedName>
    <definedName name="lrp_abuse_physical_lrnrs_with_f_es">'[1]X. Box 2 (item 1)'!$AF$54</definedName>
    <definedName name="lrp_abuse_physical_lrnrs_with_f_jhs">'[1]X. Box 2 (item 1)'!$AZ$54</definedName>
    <definedName name="lrp_abuse_physical_lrnrs_with_f_shs">'[1]X. Box 2 (item 1)'!$BT$54</definedName>
    <definedName name="lrp_abuse_physical_lrnrs_with_m_es">'[1]X. Box 2 (item 1)'!$AB$54</definedName>
    <definedName name="lrp_abuse_physical_lrnrs_with_m_jhs">'[1]X. Box 2 (item 1)'!$AV$54</definedName>
    <definedName name="lrp_abuse_physical_lrnrs_with_m_shs">'[1]X. Box 2 (item 1)'!$BP$54</definedName>
    <definedName name="lrp_abuse_psycho_lrnrs_wandwo_f_es">'[1]X. Box 2 (item 1)'!$X$63</definedName>
    <definedName name="lrp_abuse_psycho_lrnrs_wandwo_f_jhs">'[1]X. Box 2 (item 1)'!$AR$63</definedName>
    <definedName name="lrp_abuse_psycho_lrnrs_wandwo_f_shs">'[1]X. Box 2 (item 1)'!$BL$63</definedName>
    <definedName name="lrp_abuse_psycho_lrnrs_wandwo_m_es">'[1]X. Box 2 (item 1)'!$T$63</definedName>
    <definedName name="lrp_abuse_psycho_lrnrs_wandwo_m_jhs">'[1]X. Box 2 (item 1)'!$AN$63</definedName>
    <definedName name="lrp_abuse_psycho_lrnrs_wandwo_m_shs">'[1]X. Box 2 (item 1)'!$BH$63</definedName>
    <definedName name="lrp_abuse_psycho_lrnrs_with_f_es">'[1]X. Box 2 (item 1)'!$AF$63</definedName>
    <definedName name="lrp_abuse_psycho_lrnrs_with_f_jhs">'[1]X. Box 2 (item 1)'!$AZ$63</definedName>
    <definedName name="lrp_abuse_psycho_lrnrs_with_f_shs">'[1]X. Box 2 (item 1)'!$BT$63</definedName>
    <definedName name="lrp_abuse_psycho_lrnrs_with_m_es">'[1]X. Box 2 (item 1)'!$AB$63</definedName>
    <definedName name="lrp_abuse_psycho_lrnrs_with_m_jhs">'[1]X. Box 2 (item 1)'!$AV$63</definedName>
    <definedName name="lrp_abuse_psycho_lrnrs_with_m_shs">'[1]X. Box 2 (item 1)'!$BP$63</definedName>
    <definedName name="lrp_abuse_sexual_lrnrs_wandwo_f_es">'[1]X. Box 2 (item 1)'!$X$57</definedName>
    <definedName name="lrp_abuse_sexual_lrnrs_wandwo_f_jhs">'[1]X. Box 2 (item 1)'!$AR$57</definedName>
    <definedName name="lrp_abuse_sexual_lrnrs_wandwo_f_shs">'[1]X. Box 2 (item 1)'!$BL$57</definedName>
    <definedName name="lrp_abuse_sexual_lrnrs_wandwo_m_es">'[1]X. Box 2 (item 1)'!$T$57</definedName>
    <definedName name="lrp_abuse_sexual_lrnrs_wandwo_m_jhs">'[1]X. Box 2 (item 1)'!$AN$57</definedName>
    <definedName name="lrp_abuse_sexual_lrnrs_wandwo_m_shs">'[1]X. Box 2 (item 1)'!$BH$57</definedName>
    <definedName name="lrp_abuse_sexual_lrnrs_with_f_es">'[1]X. Box 2 (item 1)'!$AF$57</definedName>
    <definedName name="lrp_abuse_sexual_lrnrs_with_f_jhs">'[1]X. Box 2 (item 1)'!$AZ$57</definedName>
    <definedName name="lrp_abuse_sexual_lrnrs_with_f_shs">'[1]X. Box 2 (item 1)'!$BT$57</definedName>
    <definedName name="lrp_abuse_sexual_lrnrs_with_m_es">'[1]X. Box 2 (item 1)'!$AB$57</definedName>
    <definedName name="lrp_abuse_sexual_lrnrs_with_m_jhs">'[1]X. Box 2 (item 1)'!$AV$57</definedName>
    <definedName name="lrp_abuse_sexual_lrnrs_with_m_shs">'[1]X. Box 2 (item 1)'!$BP$57</definedName>
    <definedName name="lrp_abuse_verbal_lrnrs_wandwo_f_es">'[1]X. Box 2 (item 1)'!$X$60</definedName>
    <definedName name="lrp_abuse_verbal_lrnrs_wandwo_f_jhs">'[1]X. Box 2 (item 1)'!$AR$60</definedName>
    <definedName name="lrp_abuse_verbal_lrnrs_wandwo_f_shs">'[1]X. Box 2 (item 1)'!$BL$60</definedName>
    <definedName name="lrp_abuse_verbal_lrnrs_wandwo_m_es">'[1]X. Box 2 (item 1)'!$T$60</definedName>
    <definedName name="lrp_abuse_verbal_lrnrs_wandwo_m_jhs">'[1]X. Box 2 (item 1)'!$AN$60</definedName>
    <definedName name="lrp_abuse_verbal_lrnrs_wandwo_m_shs">'[1]X. Box 2 (item 1)'!$BH$60</definedName>
    <definedName name="lrp_abuse_verbal_lrnrs_with_f_es">'[1]X. Box 2 (item 1)'!$AF$60</definedName>
    <definedName name="lrp_abuse_verbal_lrnrs_with_f_jhs">'[1]X. Box 2 (item 1)'!$AZ$60</definedName>
    <definedName name="lrp_abuse_verbal_lrnrs_with_f_shs">'[1]X. Box 2 (item 1)'!$BT$60</definedName>
    <definedName name="lrp_abuse_verbal_lrnrs_with_m_es">'[1]X. Box 2 (item 1)'!$AB$60</definedName>
    <definedName name="lrp_abuse_verbal_lrnrs_with_m_jhs">'[1]X. Box 2 (item 1)'!$AV$60</definedName>
    <definedName name="lrp_abuse_verbal_lrnrs_with_m_shs">'[1]X. Box 2 (item 1)'!$BP$60</definedName>
    <definedName name="lrp_atrisk_armedconflict_lrnrs_wandwo_f_es">'[1]X. Box 2 (items 2 &amp; 3)'!$Y$26</definedName>
    <definedName name="lrp_atrisk_armedconflict_lrnrs_wandwo_f_jhs">'[1]X. Box 2 (items 2 &amp; 3)'!$AO$26</definedName>
    <definedName name="lrp_atrisk_armedconflict_lrnrs_wandwo_f_shs">'[1]X. Box 2 (items 2 &amp; 3)'!$BE$26</definedName>
    <definedName name="lrp_atrisk_armedconflict_lrnrs_wandwo_m_es">'[1]X. Box 2 (items 2 &amp; 3)'!$U$26</definedName>
    <definedName name="lrp_atrisk_armedconflict_lrnrs_wandwo_m_jhs">'[1]X. Box 2 (items 2 &amp; 3)'!$AK$26</definedName>
    <definedName name="lrp_atrisk_armedconflict_lrnrs_wandwo_m_shs">'[1]X. Box 2 (items 2 &amp; 3)'!$BA$26</definedName>
    <definedName name="lrp_atrisk_armedconflict_lrnrs_with_f_es">'[1]X. Box 2 (items 2 &amp; 3)'!$AG$26</definedName>
    <definedName name="lrp_atrisk_armedconflict_lrnrs_with_f_jhs">'[1]X. Box 2 (items 2 &amp; 3)'!$AW$26</definedName>
    <definedName name="lrp_atrisk_armedconflict_lrnrs_with_f_shs">'[1]X. Box 2 (items 2 &amp; 3)'!$BM$26</definedName>
    <definedName name="lrp_atrisk_armedconflict_lrnrs_with_m_es">'[1]X. Box 2 (items 2 &amp; 3)'!$AC$26</definedName>
    <definedName name="lrp_atrisk_armedconflict_lrnrs_with_m_jhs">'[1]X. Box 2 (items 2 &amp; 3)'!$AS$26</definedName>
    <definedName name="lrp_atrisk_armedconflict_lrnrs_with_m_shs">'[1]X. Box 2 (items 2 &amp; 3)'!$BI$26</definedName>
    <definedName name="lrp_atrisk_criminality_lrnrs_wandwo_f_es">'[1]X. Box 2 (items 2 &amp; 3)'!$Y$23</definedName>
    <definedName name="lrp_atrisk_criminality_lrnrs_wandwo_f_jhs">'[1]X. Box 2 (items 2 &amp; 3)'!$AO$23</definedName>
    <definedName name="lrp_atrisk_criminality_lrnrs_wandwo_f_shs">'[1]X. Box 2 (items 2 &amp; 3)'!$BE$23</definedName>
    <definedName name="lrp_atrisk_criminality_lrnrs_wandwo_m_es">'[1]X. Box 2 (items 2 &amp; 3)'!$U$23</definedName>
    <definedName name="lrp_atrisk_criminality_lrnrs_wandwo_m_jhs">'[1]X. Box 2 (items 2 &amp; 3)'!$AK$23</definedName>
    <definedName name="lrp_atrisk_criminality_lrnrs_wandwo_m_shs">'[1]X. Box 2 (items 2 &amp; 3)'!$BA$23</definedName>
    <definedName name="lrp_atrisk_criminality_lrnrs_with_f_es">'[1]X. Box 2 (items 2 &amp; 3)'!$AG$23</definedName>
    <definedName name="lrp_atrisk_criminality_lrnrs_with_f_jhs">'[1]X. Box 2 (items 2 &amp; 3)'!$AW$23</definedName>
    <definedName name="lrp_atrisk_criminality_lrnrs_with_f_shs">'[1]X. Box 2 (items 2 &amp; 3)'!$BM$23</definedName>
    <definedName name="lrp_atrisk_criminality_lrnrs_with_m_es">'[1]X. Box 2 (items 2 &amp; 3)'!$AC$23</definedName>
    <definedName name="lrp_atrisk_criminality_lrnrs_with_m_jhs">'[1]X. Box 2 (items 2 &amp; 3)'!$AS$23</definedName>
    <definedName name="lrp_atrisk_criminality_lrnrs_with_m_shs">'[1]X. Box 2 (items 2 &amp; 3)'!$BI$23</definedName>
    <definedName name="lrp_atrisk_drugabuse_lrnrs_wandwo_f_es">'[1]X. Box 2 (items 2 &amp; 3)'!$Y$29</definedName>
    <definedName name="lrp_atrisk_drugabuse_lrnrs_wandwo_f_jhs">'[1]X. Box 2 (items 2 &amp; 3)'!$AO$29</definedName>
    <definedName name="lrp_atrisk_drugabuse_lrnrs_wandwo_f_shs">'[1]X. Box 2 (items 2 &amp; 3)'!$BE$29</definedName>
    <definedName name="lrp_atrisk_drugabuse_lrnrs_wandwo_m_es">'[1]X. Box 2 (items 2 &amp; 3)'!$U$29</definedName>
    <definedName name="lrp_atrisk_drugabuse_lrnrs_wandwo_m_jhs">'[1]X. Box 2 (items 2 &amp; 3)'!$AK$29</definedName>
    <definedName name="lrp_atrisk_drugabuse_lrnrs_wandwo_m_shs">'[1]X. Box 2 (items 2 &amp; 3)'!$BA$29</definedName>
    <definedName name="lrp_atrisk_drugabuse_lrnrs_with_f_es">'[1]X. Box 2 (items 2 &amp; 3)'!$AG$29</definedName>
    <definedName name="lrp_atrisk_drugabuse_lrnrs_with_f_jhs">'[1]X. Box 2 (items 2 &amp; 3)'!$AW$29</definedName>
    <definedName name="lrp_atrisk_drugabuse_lrnrs_with_f_shs">'[1]X. Box 2 (items 2 &amp; 3)'!$BM$29</definedName>
    <definedName name="lrp_atrisk_drugabuse_lrnrs_with_m_es">'[1]X. Box 2 (items 2 &amp; 3)'!$AC$29</definedName>
    <definedName name="lrp_atrisk_drugabuse_lrnrs_with_m_jhs">'[1]X. Box 2 (items 2 &amp; 3)'!$AS$29</definedName>
    <definedName name="lrp_atrisk_drugabuse_lrnrs_with_m_shs">'[1]X. Box 2 (items 2 &amp; 3)'!$BI$29</definedName>
    <definedName name="lrp_atrisk_dysfunctional_lrnrs_wandwo_f_es">'[1]X. Box 2 (items 2 &amp; 3)'!$Y$17</definedName>
    <definedName name="lrp_atrisk_dysfunctional_lrnrs_wandwo_f_jhs">'[1]X. Box 2 (items 2 &amp; 3)'!$AO$17</definedName>
    <definedName name="lrp_atrisk_dysfunctional_lrnrs_wandwo_f_shs">'[1]X. Box 2 (items 2 &amp; 3)'!$BE$17</definedName>
    <definedName name="lrp_atrisk_dysfunctional_lrnrs_wandwo_m_es">'[1]X. Box 2 (items 2 &amp; 3)'!$U$17</definedName>
    <definedName name="lrp_atrisk_dysfunctional_lrnrs_wandwo_m_jhs">'[1]X. Box 2 (items 2 &amp; 3)'!$AK$17</definedName>
    <definedName name="lrp_atrisk_dysfunctional_lrnrs_wandwo_m_shs">'[1]X. Box 2 (items 2 &amp; 3)'!$BA$17</definedName>
    <definedName name="lrp_atrisk_dysfunctional_lrnrs_with_f_es">'[1]X. Box 2 (items 2 &amp; 3)'!$AG$17</definedName>
    <definedName name="lrp_atrisk_dysfunctional_lrnrs_with_f_jhs">'[1]X. Box 2 (items 2 &amp; 3)'!$AW$17</definedName>
    <definedName name="lrp_atrisk_dysfunctional_lrnrs_with_f_shs">'[1]X. Box 2 (items 2 &amp; 3)'!$BM$17</definedName>
    <definedName name="lrp_atrisk_dysfunctional_lrnrs_with_m_es">'[1]X. Box 2 (items 2 &amp; 3)'!$AC$17</definedName>
    <definedName name="lrp_atrisk_dysfunctional_lrnrs_with_m_jhs">'[1]X. Box 2 (items 2 &amp; 3)'!$AS$17</definedName>
    <definedName name="lrp_atrisk_dysfunctional_lrnrs_with_m_shs">'[1]X. Box 2 (items 2 &amp; 3)'!$BI$17</definedName>
    <definedName name="lrp_atrisk_gangmember_lrnrs_wandwo_f_es">'[1]X. Box 2 (items 2 &amp; 3)'!$Y$20</definedName>
    <definedName name="lrp_atrisk_gangmember_lrnrs_wandwo_f_jhs">'[1]X. Box 2 (items 2 &amp; 3)'!$AO$20</definedName>
    <definedName name="lrp_atrisk_gangmember_lrnrs_wandwo_f_shs">'[1]X. Box 2 (items 2 &amp; 3)'!$BE$20</definedName>
    <definedName name="lrp_atrisk_gangmember_lrnrs_wandwo_m_es">'[1]X. Box 2 (items 2 &amp; 3)'!$U$20</definedName>
    <definedName name="lrp_atrisk_gangmember_lrnrs_wandwo_m_jhs">'[1]X. Box 2 (items 2 &amp; 3)'!$AK$20</definedName>
    <definedName name="lrp_atrisk_gangmember_lrnrs_wandwo_m_shs">'[1]X. Box 2 (items 2 &amp; 3)'!$BA$20</definedName>
    <definedName name="lrp_atrisk_gangmember_lrnrs_with_f_es">'[1]X. Box 2 (items 2 &amp; 3)'!$AG$20</definedName>
    <definedName name="lrp_atrisk_gangmember_lrnrs_with_f_jhs">'[1]X. Box 2 (items 2 &amp; 3)'!$AW$20</definedName>
    <definedName name="lrp_atrisk_gangmember_lrnrs_with_f_shs">'[1]X. Box 2 (items 2 &amp; 3)'!$BM$20</definedName>
    <definedName name="lrp_atrisk_gangmember_lrnrs_with_m_es">'[1]X. Box 2 (items 2 &amp; 3)'!$AC$20</definedName>
    <definedName name="lrp_atrisk_gangmember_lrnrs_with_m_jhs">'[1]X. Box 2 (items 2 &amp; 3)'!$AS$20</definedName>
    <definedName name="lrp_atrisk_gangmember_lrnrs_with_m_shs">'[1]X. Box 2 (items 2 &amp; 3)'!$BI$20</definedName>
    <definedName name="lrp_atrisk_neglect_lrnrs_wandwo_f_es">'[1]X. Box 2 (items 2 &amp; 3)'!$Y$14</definedName>
    <definedName name="lrp_atrisk_neglect_lrnrs_wandwo_f_jhs">'[1]X. Box 2 (items 2 &amp; 3)'!$AO$14</definedName>
    <definedName name="lrp_atrisk_neglect_lrnrs_wandwo_f_shs">'[1]X. Box 2 (items 2 &amp; 3)'!$BE$14</definedName>
    <definedName name="lrp_atrisk_neglect_lrnrs_wandwo_m_es">'[1]X. Box 2 (items 2 &amp; 3)'!$U$14</definedName>
    <definedName name="lrp_atrisk_neglect_lrnrs_wandwo_m_jhs">'[1]X. Box 2 (items 2 &amp; 3)'!$AK$14</definedName>
    <definedName name="lrp_atrisk_neglect_lrnrs_wandwo_m_shs">'[1]X. Box 2 (items 2 &amp; 3)'!$BA$14</definedName>
    <definedName name="lrp_atrisk_neglect_lrnrs_with_f_es">'[1]X. Box 2 (items 2 &amp; 3)'!$AG$14</definedName>
    <definedName name="lrp_atrisk_neglect_lrnrs_with_f_jhs">'[1]X. Box 2 (items 2 &amp; 3)'!$AW$14</definedName>
    <definedName name="lrp_atrisk_neglect_lrnrs_with_f_shs">'[1]X. Box 2 (items 2 &amp; 3)'!$BM$14</definedName>
    <definedName name="lrp_atrisk_neglect_lrnrs_with_m_es">'[1]X. Box 2 (items 2 &amp; 3)'!$AC$14</definedName>
    <definedName name="lrp_atrisk_neglect_lrnrs_with_m_jhs">'[1]X. Box 2 (items 2 &amp; 3)'!$AS$14</definedName>
    <definedName name="lrp_atrisk_neglect_lrnrs_with_m_shs">'[1]X. Box 2 (items 2 &amp; 3)'!$BI$14</definedName>
    <definedName name="lrp_atrisk_pd1563_lrnrs_wandwo_f_es">'[1]X. Box 2 (items 2 &amp; 3)'!$Y$38</definedName>
    <definedName name="lrp_atrisk_pd1563_lrnrs_wandwo_f_jhs">'[1]X. Box 2 (items 2 &amp; 3)'!$AO$38</definedName>
    <definedName name="lrp_atrisk_pd1563_lrnrs_wandwo_f_shs">'[1]X. Box 2 (items 2 &amp; 3)'!$BE$38</definedName>
    <definedName name="lrp_atrisk_pd1563_lrnrs_wandwo_m_es">'[1]X. Box 2 (items 2 &amp; 3)'!$U$38</definedName>
    <definedName name="lrp_atrisk_pd1563_lrnrs_wandwo_m_jhs">'[1]X. Box 2 (items 2 &amp; 3)'!$AK$38</definedName>
    <definedName name="lrp_atrisk_pd1563_lrnrs_wandwo_m_shs">'[1]X. Box 2 (items 2 &amp; 3)'!$BA$38</definedName>
    <definedName name="lrp_atrisk_pd1563_lrnrs_with_f_es">'[1]X. Box 2 (items 2 &amp; 3)'!$AG$38</definedName>
    <definedName name="lrp_atrisk_pd1563_lrnrs_with_f_jhs">'[1]X. Box 2 (items 2 &amp; 3)'!$AW$38</definedName>
    <definedName name="lrp_atrisk_pd1563_lrnrs_with_f_shs">'[1]X. Box 2 (items 2 &amp; 3)'!$BM$38</definedName>
    <definedName name="lrp_atrisk_pd1563_lrnrs_with_m_es">'[1]X. Box 2 (items 2 &amp; 3)'!$AC$38</definedName>
    <definedName name="lrp_atrisk_pd1563_lrnrs_with_m_jhs">'[1]X. Box 2 (items 2 &amp; 3)'!$AS$38</definedName>
    <definedName name="lrp_atrisk_pd1563_lrnrs_with_m_shs">'[1]X. Box 2 (items 2 &amp; 3)'!$BI$38</definedName>
    <definedName name="lrp_atrisk_ra9344_lrnrs_wandwo_f_es">'[1]X. Box 2 (items 2 &amp; 3)'!$Y$32</definedName>
    <definedName name="lrp_atrisk_ra9344_lrnrs_wandwo_f_jhs">'[1]X. Box 2 (items 2 &amp; 3)'!$AO$32</definedName>
    <definedName name="lrp_atrisk_ra9344_lrnrs_wandwo_f_shs">'[1]X. Box 2 (items 2 &amp; 3)'!$BE$32</definedName>
    <definedName name="lrp_atrisk_ra9344_lrnrs_wandwo_m_es">'[1]X. Box 2 (items 2 &amp; 3)'!$U$32</definedName>
    <definedName name="lrp_atrisk_ra9344_lrnrs_wandwo_m_jhs">'[1]X. Box 2 (items 2 &amp; 3)'!$AK$32</definedName>
    <definedName name="lrp_atrisk_ra9344_lrnrs_wandwo_m_shs">'[1]X. Box 2 (items 2 &amp; 3)'!$BA$32</definedName>
    <definedName name="lrp_atrisk_ra9344_lrnrs_with_f_es">'[1]X. Box 2 (items 2 &amp; 3)'!$AG$32</definedName>
    <definedName name="lrp_atrisk_ra9344_lrnrs_with_f_jhs">'[1]X. Box 2 (items 2 &amp; 3)'!$AW$32</definedName>
    <definedName name="lrp_atrisk_ra9344_lrnrs_with_f_shs">'[1]X. Box 2 (items 2 &amp; 3)'!$BM$32</definedName>
    <definedName name="lrp_atrisk_ra9344_lrnrs_with_m_es">'[1]X. Box 2 (items 2 &amp; 3)'!$AC$32</definedName>
    <definedName name="lrp_atrisk_ra9344_lrnrs_with_m_jhs">'[1]X. Box 2 (items 2 &amp; 3)'!$AS$32</definedName>
    <definedName name="lrp_atrisk_ra9344_lrnrs_with_m_shs">'[1]X. Box 2 (items 2 &amp; 3)'!$BI$32</definedName>
    <definedName name="lrp_atrisk_rugbyuse_lrnrs_wandwo_f_es">'[1]X. Box 2 (items 2 &amp; 3)'!$Y$41</definedName>
    <definedName name="lrp_atrisk_rugbyuse_lrnrs_wandwo_f_jhs">'[1]X. Box 2 (items 2 &amp; 3)'!$AO$41</definedName>
    <definedName name="lrp_atrisk_rugbyuse_lrnrs_wandwo_f_shs">'[1]X. Box 2 (items 2 &amp; 3)'!$BE$41</definedName>
    <definedName name="lrp_atrisk_rugbyuse_lrnrs_wandwo_m_es">'[1]X. Box 2 (items 2 &amp; 3)'!$U$41</definedName>
    <definedName name="lrp_atrisk_rugbyuse_lrnrs_wandwo_m_jhs">'[1]X. Box 2 (items 2 &amp; 3)'!$AK$41</definedName>
    <definedName name="lrp_atrisk_rugbyuse_lrnrs_wandwo_m_shs">'[1]X. Box 2 (items 2 &amp; 3)'!$BA$41</definedName>
    <definedName name="lrp_atrisk_rugbyuse_lrnrs_with_f_es">'[1]X. Box 2 (items 2 &amp; 3)'!$AG$41</definedName>
    <definedName name="lrp_atrisk_rugbyuse_lrnrs_with_f_jhs">'[1]X. Box 2 (items 2 &amp; 3)'!$AW$41</definedName>
    <definedName name="lrp_atrisk_rugbyuse_lrnrs_with_f_shs">'[1]X. Box 2 (items 2 &amp; 3)'!$BM$41</definedName>
    <definedName name="lrp_atrisk_rugbyuse_lrnrs_with_m_es">'[1]X. Box 2 (items 2 &amp; 3)'!$AC$41</definedName>
    <definedName name="lrp_atrisk_rugbyuse_lrnrs_with_m_jhs">'[1]X. Box 2 (items 2 &amp; 3)'!$AS$41</definedName>
    <definedName name="lrp_atrisk_rugbyuse_lrnrs_with_m_shs">'[1]X. Box 2 (items 2 &amp; 3)'!$BI$41</definedName>
    <definedName name="lrp_atrisk_violation_lrnrs_wandwo_f_es">'[1]X. Box 2 (items 2 &amp; 3)'!$Y$35</definedName>
    <definedName name="lrp_atrisk_violation_lrnrs_wandwo_f_jhs">'[1]X. Box 2 (items 2 &amp; 3)'!$AO$35</definedName>
    <definedName name="lrp_atrisk_violation_lrnrs_wandwo_f_shs">'[1]X. Box 2 (items 2 &amp; 3)'!$BE$35</definedName>
    <definedName name="lrp_atrisk_violation_lrnrs_wandwo_m_es">'[1]X. Box 2 (items 2 &amp; 3)'!$U$35</definedName>
    <definedName name="lrp_atrisk_violation_lrnrs_wandwo_m_jhs">'[1]X. Box 2 (items 2 &amp; 3)'!$AK$35</definedName>
    <definedName name="lrp_atrisk_violation_lrnrs_wandwo_m_shs">'[1]X. Box 2 (items 2 &amp; 3)'!$BA$35</definedName>
    <definedName name="lrp_atrisk_violation_lrnrs_with_f_es">'[1]X. Box 2 (items 2 &amp; 3)'!$AG$35</definedName>
    <definedName name="lrp_atrisk_violation_lrnrs_with_f_jhs">'[1]X. Box 2 (items 2 &amp; 3)'!$AW$35</definedName>
    <definedName name="lrp_atrisk_violation_lrnrs_with_f_shs">'[1]X. Box 2 (items 2 &amp; 3)'!$BM$35</definedName>
    <definedName name="lrp_atrisk_violation_lrnrs_with_m_es">'[1]X. Box 2 (items 2 &amp; 3)'!$AC$35</definedName>
    <definedName name="lrp_atrisk_violation_lrnrs_with_m_jhs">'[1]X. Box 2 (items 2 &amp; 3)'!$AS$35</definedName>
    <definedName name="lrp_atrisk_violation_lrnrs_with_m_shs">'[1]X. Box 2 (items 2 &amp; 3)'!$BI$35</definedName>
    <definedName name="lrp_bullying_cyber_lrnrs_wandwo_f_es">'[1]X. Box 2 (item 1)'!$X$26</definedName>
    <definedName name="lrp_bullying_cyber_lrnrs_wandwo_f_jhs">'[1]X. Box 2 (item 1)'!$AR$26</definedName>
    <definedName name="lrp_bullying_cyber_lrnrs_wandwo_f_shs">'[1]X. Box 2 (item 1)'!$BL$26</definedName>
    <definedName name="lrp_bullying_cyber_lrnrs_wandwo_m_es">'[1]X. Box 2 (item 1)'!$T$26</definedName>
    <definedName name="lrp_bullying_cyber_lrnrs_wandwo_m_jhs">'[1]X. Box 2 (item 1)'!$AN$26</definedName>
    <definedName name="lrp_bullying_cyber_lrnrs_wandwo_m_shs">'[1]X. Box 2 (item 1)'!$BH$26</definedName>
    <definedName name="lrp_bullying_cyber_lrnrs_with_f_es">'[1]X. Box 2 (item 1)'!$AF$26</definedName>
    <definedName name="lrp_bullying_cyber_lrnrs_with_f_jhs">'[1]X. Box 2 (item 1)'!$AZ$26</definedName>
    <definedName name="lrp_bullying_cyber_lrnrs_with_f_shs">'[1]X. Box 2 (item 1)'!$BT$26</definedName>
    <definedName name="lrp_bullying_cyber_lrnrs_with_m_es">'[1]X. Box 2 (item 1)'!$AB$26</definedName>
    <definedName name="lrp_bullying_cyber_lrnrs_with_m_jhs">'[1]X. Box 2 (item 1)'!$AV$26</definedName>
    <definedName name="lrp_bullying_cyber_lrnrs_with_m_shs">'[1]X. Box 2 (item 1)'!$BP$26</definedName>
    <definedName name="lrp_bullying_gender_lrnrs_wandwo_f_es">'[1]X. Box 2 (item 1)'!$X$23</definedName>
    <definedName name="lrp_bullying_gender_lrnrs_wandwo_f_jhs">'[1]X. Box 2 (item 1)'!$AR$23</definedName>
    <definedName name="lrp_bullying_gender_lrnrs_wandwo_f_shs">'[1]X. Box 2 (item 1)'!$BL$23</definedName>
    <definedName name="lrp_bullying_gender_lrnrs_wandwo_m_es">'[1]X. Box 2 (item 1)'!$T$23</definedName>
    <definedName name="lrp_bullying_gender_lrnrs_wandwo_m_jhs">'[1]X. Box 2 (item 1)'!$AN$23</definedName>
    <definedName name="lrp_bullying_gender_lrnrs_wandwo_m_shs">'[1]X. Box 2 (item 1)'!$BH$23</definedName>
    <definedName name="lrp_bullying_gender_lrnrs_with_f_es">'[1]X. Box 2 (item 1)'!$AF$23</definedName>
    <definedName name="lrp_bullying_gender_lrnrs_with_f_jhs">'[1]X. Box 2 (item 1)'!$AZ$23</definedName>
    <definedName name="lrp_bullying_gender_lrnrs_with_f_shs">'[1]X. Box 2 (item 1)'!$BT$23</definedName>
    <definedName name="lrp_bullying_gender_lrnrs_with_m_es">'[1]X. Box 2 (item 1)'!$AB$23</definedName>
    <definedName name="lrp_bullying_gender_lrnrs_with_m_jhs">'[1]X. Box 2 (item 1)'!$AV$23</definedName>
    <definedName name="lrp_bullying_gender_lrnrs_with_m_shs">'[1]X. Box 2 (item 1)'!$BP$23</definedName>
    <definedName name="lrp_bullying_physical_lrnrs_wandwo_f_es">'[1]X. Box 2 (item 1)'!$X$17</definedName>
    <definedName name="lrp_bullying_physical_lrnrs_wandwo_f_jhs">'[1]X. Box 2 (item 1)'!$AR$17</definedName>
    <definedName name="lrp_bullying_physical_lrnrs_wandwo_f_shs">'[1]X. Box 2 (item 1)'!$BL$17</definedName>
    <definedName name="lrp_bullying_physical_lrnrs_wandwo_m_es">'[1]X. Box 2 (item 1)'!$T$17</definedName>
    <definedName name="lrp_bullying_physical_lrnrs_wandwo_m_jhs">'[1]X. Box 2 (item 1)'!$AN$17</definedName>
    <definedName name="lrp_bullying_physical_lrnrs_wandwo_m_shs">'[1]X. Box 2 (item 1)'!$BH$17</definedName>
    <definedName name="lrp_bullying_physical_lrnrs_with_f_es">'[1]X. Box 2 (item 1)'!$AF$17</definedName>
    <definedName name="lrp_bullying_physical_lrnrs_with_f_jhs">'[1]X. Box 2 (item 1)'!$AZ$17</definedName>
    <definedName name="lrp_bullying_physical_lrnrs_with_f_shs">'[1]X. Box 2 (item 1)'!$BT$17</definedName>
    <definedName name="lrp_bullying_physical_lrnrs_with_m_es">'[1]X. Box 2 (item 1)'!$AB$17</definedName>
    <definedName name="lrp_bullying_physical_lrnrs_with_m_jhs">'[1]X. Box 2 (item 1)'!$AV$17</definedName>
    <definedName name="lrp_bullying_physical_lrnrs_with_m_shs">'[1]X. Box 2 (item 1)'!$BP$17</definedName>
    <definedName name="lrp_bullying_physoemo_lrnrs_wandwo_f_es">'[1]X. Box 2 (item 1)'!$X$32</definedName>
    <definedName name="lrp_bullying_physoemo_lrnrs_wandwo_f_jhs">'[1]X. Box 2 (item 1)'!$AR$32</definedName>
    <definedName name="lrp_bullying_physoemo_lrnrs_wandwo_f_shs">'[1]X. Box 2 (item 1)'!$BL$32</definedName>
    <definedName name="lrp_bullying_physoemo_lrnrs_wandwo_m_es">'[1]X. Box 2 (item 1)'!$T$32</definedName>
    <definedName name="lrp_bullying_physoemo_lrnrs_wandwo_m_jhs">'[1]X. Box 2 (item 1)'!$AN$32</definedName>
    <definedName name="lrp_bullying_physoemo_lrnrs_wandwo_m_shs">'[1]X. Box 2 (item 1)'!$BH$32</definedName>
    <definedName name="lrp_bullying_physoemo_lrnrs_with_f_es">'[1]X. Box 2 (item 1)'!$AF$32</definedName>
    <definedName name="lrp_bullying_physoemo_lrnrs_with_f_jhs">'[1]X. Box 2 (item 1)'!$AZ$32</definedName>
    <definedName name="lrp_bullying_physoemo_lrnrs_with_f_shs">'[1]X. Box 2 (item 1)'!$BT$32</definedName>
    <definedName name="lrp_bullying_physoemo_lrnrs_with_m_es">'[1]X. Box 2 (item 1)'!$AB$32</definedName>
    <definedName name="lrp_bullying_physoemo_lrnrs_with_m_jhs">'[1]X. Box 2 (item 1)'!$AV$32</definedName>
    <definedName name="lrp_bullying_physoemo_lrnrs_with_m_shs">'[1]X. Box 2 (item 1)'!$BP$32</definedName>
    <definedName name="lrp_bullying_precursor_lrnrs_wandwo_f_es">'[1]X. Box 2 (item 1)'!$X$38</definedName>
    <definedName name="lrp_bullying_precursor_lrnrs_wandwo_f_jhs">'[1]X. Box 2 (item 1)'!$AR$38</definedName>
    <definedName name="lrp_bullying_precursor_lrnrs_wandwo_f_shs">'[1]X. Box 2 (item 1)'!$BL$38</definedName>
    <definedName name="lrp_bullying_precursor_lrnrs_wandwo_m_es">'[1]X. Box 2 (item 1)'!$T$38</definedName>
    <definedName name="lrp_bullying_precursor_lrnrs_wandwo_m_jhs">'[1]X. Box 2 (item 1)'!$AN$38</definedName>
    <definedName name="lrp_bullying_precursor_lrnrs_wandwo_m_shs">'[1]X. Box 2 (item 1)'!$BH$38</definedName>
    <definedName name="lrp_bullying_precursor_lrnrs_with_f_es">'[1]X. Box 2 (item 1)'!$AF$38</definedName>
    <definedName name="lrp_bullying_precursor_lrnrs_with_f_jhs">'[1]X. Box 2 (item 1)'!$AZ$38</definedName>
    <definedName name="lrp_bullying_precursor_lrnrs_with_f_shs">'[1]X. Box 2 (item 1)'!$BT$38</definedName>
    <definedName name="lrp_bullying_precursor_lrnrs_with_m_es">'[1]X. Box 2 (item 1)'!$AB$38</definedName>
    <definedName name="lrp_bullying_precursor_lrnrs_with_m_jhs">'[1]X. Box 2 (item 1)'!$AV$38</definedName>
    <definedName name="lrp_bullying_precursor_lrnrs_with_m_shs">'[1]X. Box 2 (item 1)'!$BP$38</definedName>
    <definedName name="lrp_bullying_social_lrnrs_wandwo_f_es">'[1]X. Box 2 (item 1)'!$X$20</definedName>
    <definedName name="lrp_bullying_social_lrnrs_wandwo_f_jhs">'[1]X. Box 2 (item 1)'!$AR$20</definedName>
    <definedName name="lrp_bullying_social_lrnrs_wandwo_f_shs">'[1]X. Box 2 (item 1)'!$BL$20</definedName>
    <definedName name="lrp_bullying_social_lrnrs_wandwo_m_es">'[1]X. Box 2 (item 1)'!$T$20</definedName>
    <definedName name="lrp_bullying_social_lrnrs_wandwo_m_jhs">'[1]X. Box 2 (item 1)'!$AN$20</definedName>
    <definedName name="lrp_bullying_social_lrnrs_wandwo_m_shs">'[1]X. Box 2 (item 1)'!$BH$20</definedName>
    <definedName name="lrp_bullying_social_lrnrs_with_f_es">'[1]X. Box 2 (item 1)'!$AF$20</definedName>
    <definedName name="lrp_bullying_social_lrnrs_with_f_jhs">'[1]X. Box 2 (item 1)'!$AZ$20</definedName>
    <definedName name="lrp_bullying_social_lrnrs_with_f_shs">'[1]X. Box 2 (item 1)'!$BT$20</definedName>
    <definedName name="lrp_bullying_social_lrnrs_with_m_es">'[1]X. Box 2 (item 1)'!$AB$20</definedName>
    <definedName name="lrp_bullying_social_lrnrs_with_m_jhs">'[1]X. Box 2 (item 1)'!$AV$20</definedName>
    <definedName name="lrp_bullying_social_lrnrs_with_m_shs">'[1]X. Box 2 (item 1)'!$BP$20</definedName>
    <definedName name="lrp_bullying_verbal_lrnrs_wandwo_f_es">'[1]X. Box 2 (item 1)'!$X$35</definedName>
    <definedName name="lrp_bullying_verbal_lrnrs_wandwo_f_jhs">'[1]X. Box 2 (item 1)'!$AR$35</definedName>
    <definedName name="lrp_bullying_verbal_lrnrs_wandwo_f_shs">'[1]X. Box 2 (item 1)'!$BL$35</definedName>
    <definedName name="lrp_bullying_verbal_lrnrs_wandwo_m_es">'[1]X. Box 2 (item 1)'!$T$35</definedName>
    <definedName name="lrp_bullying_verbal_lrnrs_wandwo_m_jhs">'[1]X. Box 2 (item 1)'!$AN$35</definedName>
    <definedName name="lrp_bullying_verbal_lrnrs_wandwo_m_shs">'[1]X. Box 2 (item 1)'!$BH$35</definedName>
    <definedName name="lrp_bullying_verbal_lrnrs_with_f_es">'[1]X. Box 2 (item 1)'!$AF$35</definedName>
    <definedName name="lrp_bullying_verbal_lrnrs_with_f_jhs">'[1]X. Box 2 (item 1)'!$AZ$35</definedName>
    <definedName name="lrp_bullying_verbal_lrnrs_with_f_shs">'[1]X. Box 2 (item 1)'!$BT$35</definedName>
    <definedName name="lrp_bullying_verbal_lrnrs_with_m_es">'[1]X. Box 2 (item 1)'!$AB$35</definedName>
    <definedName name="lrp_bullying_verbal_lrnrs_with_m_jhs">'[1]X. Box 2 (item 1)'!$AV$35</definedName>
    <definedName name="lrp_bullying_verbal_lrnrs_with_m_shs">'[1]X. Box 2 (item 1)'!$BP$35</definedName>
    <definedName name="lrp_cicl_homicide_lrnrs_wandwo_f_es">'[1]X. Box 2 (items 2 &amp; 3)'!$Y$61</definedName>
    <definedName name="lrp_cicl_homicide_lrnrs_wandwo_f_jhs">'[1]X. Box 2 (items 2 &amp; 3)'!$AO$61</definedName>
    <definedName name="lrp_cicl_homicide_lrnrs_wandwo_f_shs">'[1]X. Box 2 (items 2 &amp; 3)'!$BE$61</definedName>
    <definedName name="lrp_cicl_homicide_lrnrs_wandwo_m_es">'[1]X. Box 2 (items 2 &amp; 3)'!$U$61</definedName>
    <definedName name="lrp_cicl_homicide_lrnrs_wandwo_m_jhs">'[1]X. Box 2 (items 2 &amp; 3)'!$AK$61</definedName>
    <definedName name="lrp_cicl_homicide_lrnrs_wandwo_m_shs">'[1]X. Box 2 (items 2 &amp; 3)'!$BA$61</definedName>
    <definedName name="lrp_cicl_homicide_lrnrs_with_f_es">'[1]X. Box 2 (items 2 &amp; 3)'!$AG$61</definedName>
    <definedName name="lrp_cicl_homicide_lrnrs_with_f_jhs">'[1]X. Box 2 (items 2 &amp; 3)'!$AW$61</definedName>
    <definedName name="lrp_cicl_homicide_lrnrs_with_f_shs">'[1]X. Box 2 (items 2 &amp; 3)'!$BM$61</definedName>
    <definedName name="lrp_cicl_homicide_lrnrs_with_m_es">'[1]X. Box 2 (items 2 &amp; 3)'!$AC$61</definedName>
    <definedName name="lrp_cicl_homicide_lrnrs_with_m_jhs">'[1]X. Box 2 (items 2 &amp; 3)'!$AS$61</definedName>
    <definedName name="lrp_cicl_homicide_lrnrs_with_m_shs">'[1]X. Box 2 (items 2 &amp; 3)'!$BI$61</definedName>
    <definedName name="lrp_cicl_injury_lrnrs_wandwo_f_es">'[1]X. Box 2 (items 2 &amp; 3)'!$Y$59</definedName>
    <definedName name="lrp_cicl_injury_lrnrs_wandwo_f_jhs">'[1]X. Box 2 (items 2 &amp; 3)'!$AO$59</definedName>
    <definedName name="lrp_cicl_injury_lrnrs_wandwo_f_shs">'[1]X. Box 2 (items 2 &amp; 3)'!$BE$59</definedName>
    <definedName name="lrp_cicl_injury_lrnrs_wandwo_m_es">'[1]X. Box 2 (items 2 &amp; 3)'!$U$59</definedName>
    <definedName name="lrp_cicl_injury_lrnrs_wandwo_m_jhs">'[1]X. Box 2 (items 2 &amp; 3)'!$AK$59</definedName>
    <definedName name="lrp_cicl_injury_lrnrs_wandwo_m_shs">'[1]X. Box 2 (items 2 &amp; 3)'!$BA$59</definedName>
    <definedName name="lrp_cicl_injury_lrnrs_with_f_es">'[1]X. Box 2 (items 2 &amp; 3)'!$AG$59</definedName>
    <definedName name="lrp_cicl_injury_lrnrs_with_f_jhs">'[1]X. Box 2 (items 2 &amp; 3)'!$AW$59</definedName>
    <definedName name="lrp_cicl_injury_lrnrs_with_f_shs">'[1]X. Box 2 (items 2 &amp; 3)'!$BM$59</definedName>
    <definedName name="lrp_cicl_injury_lrnrs_with_m_es">'[1]X. Box 2 (items 2 &amp; 3)'!$AC$59</definedName>
    <definedName name="lrp_cicl_injury_lrnrs_with_m_jhs">'[1]X. Box 2 (items 2 &amp; 3)'!$AS$59</definedName>
    <definedName name="lrp_cicl_injury_lrnrs_with_m_shs">'[1]X. Box 2 (items 2 &amp; 3)'!$BI$59</definedName>
    <definedName name="lrp_cicl_murder_lrnrs_wandwo_f_es">'[1]X. Box 2 (items 2 &amp; 3)'!$Y$62</definedName>
    <definedName name="lrp_cicl_murder_lrnrs_wandwo_f_jhs">'[1]X. Box 2 (items 2 &amp; 3)'!$AO$62</definedName>
    <definedName name="lrp_cicl_murder_lrnrs_wandwo_f_shs">'[1]X. Box 2 (items 2 &amp; 3)'!$BE$62</definedName>
    <definedName name="lrp_cicl_murder_lrnrs_wandwo_m_es">'[1]X. Box 2 (items 2 &amp; 3)'!$U$62</definedName>
    <definedName name="lrp_cicl_murder_lrnrs_wandwo_m_jhs">'[1]X. Box 2 (items 2 &amp; 3)'!$AK$62</definedName>
    <definedName name="lrp_cicl_murder_lrnrs_wandwo_m_shs">'[1]X. Box 2 (items 2 &amp; 3)'!$BA$62</definedName>
    <definedName name="lrp_cicl_murder_lrnrs_with_f_es">'[1]X. Box 2 (items 2 &amp; 3)'!$AG$62</definedName>
    <definedName name="lrp_cicl_murder_lrnrs_with_f_jhs">'[1]X. Box 2 (items 2 &amp; 3)'!$AW$62</definedName>
    <definedName name="lrp_cicl_murder_lrnrs_with_f_shs">'[1]X. Box 2 (items 2 &amp; 3)'!$BM$62</definedName>
    <definedName name="lrp_cicl_murder_lrnrs_with_m_es">'[1]X. Box 2 (items 2 &amp; 3)'!$AC$62</definedName>
    <definedName name="lrp_cicl_murder_lrnrs_with_m_jhs">'[1]X. Box 2 (items 2 &amp; 3)'!$AS$62</definedName>
    <definedName name="lrp_cicl_murder_lrnrs_with_m_shs">'[1]X. Box 2 (items 2 &amp; 3)'!$BI$62</definedName>
    <definedName name="lrp_cicl_ra9165_lrnrs_wandwo_f_es">'[1]X. Box 2 (items 2 &amp; 3)'!$Y$57</definedName>
    <definedName name="lrp_cicl_ra9165_lrnrs_wandwo_f_jhs">'[1]X. Box 2 (items 2 &amp; 3)'!$AO$57</definedName>
    <definedName name="lrp_cicl_ra9165_lrnrs_wandwo_f_shs">'[1]X. Box 2 (items 2 &amp; 3)'!$BE$57</definedName>
    <definedName name="lrp_cicl_ra9165_lrnrs_wandwo_m_es">'[1]X. Box 2 (items 2 &amp; 3)'!$U$57</definedName>
    <definedName name="lrp_cicl_ra9165_lrnrs_wandwo_m_jhs">'[1]X. Box 2 (items 2 &amp; 3)'!$AK$57</definedName>
    <definedName name="lrp_cicl_ra9165_lrnrs_wandwo_m_shs">'[1]X. Box 2 (items 2 &amp; 3)'!$BA$57</definedName>
    <definedName name="lrp_cicl_ra9165_lrnrs_with_f_es">'[1]X. Box 2 (items 2 &amp; 3)'!$AG$57</definedName>
    <definedName name="lrp_cicl_ra9165_lrnrs_with_f_jhs">'[1]X. Box 2 (items 2 &amp; 3)'!$AW$57</definedName>
    <definedName name="lrp_cicl_ra9165_lrnrs_with_f_shs">'[1]X. Box 2 (items 2 &amp; 3)'!$BM$57</definedName>
    <definedName name="lrp_cicl_ra9165_lrnrs_with_m_es">'[1]X. Box 2 (items 2 &amp; 3)'!$AC$57</definedName>
    <definedName name="lrp_cicl_ra9165_lrnrs_with_m_jhs">'[1]X. Box 2 (items 2 &amp; 3)'!$AS$57</definedName>
    <definedName name="lrp_cicl_ra9165_lrnrs_with_m_shs">'[1]X. Box 2 (items 2 &amp; 3)'!$BI$57</definedName>
    <definedName name="lrp_cicl_rape_lrnrs_wandwo_f_es">'[1]X. Box 2 (items 2 &amp; 3)'!$Y$58</definedName>
    <definedName name="lrp_cicl_rape_lrnrs_wandwo_f_jhs">'[1]X. Box 2 (items 2 &amp; 3)'!$AO$58</definedName>
    <definedName name="lrp_cicl_rape_lrnrs_wandwo_f_shs">'[1]X. Box 2 (items 2 &amp; 3)'!$BE$58</definedName>
    <definedName name="lrp_cicl_rape_lrnrs_wandwo_m_es">'[1]X. Box 2 (items 2 &amp; 3)'!$U$58</definedName>
    <definedName name="lrp_cicl_rape_lrnrs_wandwo_m_jhs">'[1]X. Box 2 (items 2 &amp; 3)'!$AK$58</definedName>
    <definedName name="lrp_cicl_rape_lrnrs_wandwo_m_shs">'[1]X. Box 2 (items 2 &amp; 3)'!$BA$58</definedName>
    <definedName name="lrp_cicl_rape_lrnrs_with_f_es">'[1]X. Box 2 (items 2 &amp; 3)'!$AG$58</definedName>
    <definedName name="lrp_cicl_rape_lrnrs_with_f_jhs">'[1]X. Box 2 (items 2 &amp; 3)'!$AW$58</definedName>
    <definedName name="lrp_cicl_rape_lrnrs_with_f_shs">'[1]X. Box 2 (items 2 &amp; 3)'!$BM$58</definedName>
    <definedName name="lrp_cicl_rape_lrnrs_with_m_es">'[1]X. Box 2 (items 2 &amp; 3)'!$AC$58</definedName>
    <definedName name="lrp_cicl_rape_lrnrs_with_m_jhs">'[1]X. Box 2 (items 2 &amp; 3)'!$AS$58</definedName>
    <definedName name="lrp_cicl_rape_lrnrs_with_m_shs">'[1]X. Box 2 (items 2 &amp; 3)'!$BI$58</definedName>
    <definedName name="lrp_cicl_robery_lrnrs_wandwo_f_es">'[1]X. Box 2 (items 2 &amp; 3)'!$Y$60</definedName>
    <definedName name="lrp_cicl_robery_lrnrs_wandwo_f_jhs">'[1]X. Box 2 (items 2 &amp; 3)'!$AO$60</definedName>
    <definedName name="lrp_cicl_robery_lrnrs_wandwo_f_shs">'[1]X. Box 2 (items 2 &amp; 3)'!$BE$60</definedName>
    <definedName name="lrp_cicl_robery_lrnrs_wandwo_m_es">'[1]X. Box 2 (items 2 &amp; 3)'!$U$60</definedName>
    <definedName name="lrp_cicl_robery_lrnrs_wandwo_m_jhs">'[1]X. Box 2 (items 2 &amp; 3)'!$AK$60</definedName>
    <definedName name="lrp_cicl_robery_lrnrs_wandwo_m_shs">'[1]X. Box 2 (items 2 &amp; 3)'!$BA$60</definedName>
    <definedName name="lrp_cicl_robery_lrnrs_with_f_es">'[1]X. Box 2 (items 2 &amp; 3)'!$AG$60</definedName>
    <definedName name="lrp_cicl_robery_lrnrs_with_f_jhs">'[1]X. Box 2 (items 2 &amp; 3)'!$AW$60</definedName>
    <definedName name="lrp_cicl_robery_lrnrs_with_f_shs">'[1]X. Box 2 (items 2 &amp; 3)'!$BM$60</definedName>
    <definedName name="lrp_cicl_robery_lrnrs_with_m_es">'[1]X. Box 2 (items 2 &amp; 3)'!$AC$60</definedName>
    <definedName name="lrp_cicl_robery_lrnrs_with_m_jhs">'[1]X. Box 2 (items 2 &amp; 3)'!$AS$60</definedName>
    <definedName name="lrp_cicl_robery_lrnrs_with_m_shs">'[1]X. Box 2 (items 2 &amp; 3)'!$BI$60</definedName>
    <definedName name="lrp_cicl_theft_lrnrs_wandwo_f_es">'[1]X. Box 2 (items 2 &amp; 3)'!$Y$56</definedName>
    <definedName name="lrp_cicl_theft_lrnrs_wandwo_f_jhs">'[1]X. Box 2 (items 2 &amp; 3)'!$AO$56</definedName>
    <definedName name="lrp_cicl_theft_lrnrs_wandwo_f_shs">'[1]X. Box 2 (items 2 &amp; 3)'!$BE$56</definedName>
    <definedName name="lrp_cicl_theft_lrnrs_wandwo_m_es">'[1]X. Box 2 (items 2 &amp; 3)'!$U$56</definedName>
    <definedName name="lrp_cicl_theft_lrnrs_wandwo_m_jhs">'[1]X. Box 2 (items 2 &amp; 3)'!$AK$56</definedName>
    <definedName name="lrp_cicl_theft_lrnrs_wandwo_m_shs">'[1]X. Box 2 (items 2 &amp; 3)'!$BA$56</definedName>
    <definedName name="lrp_cicl_theft_lrnrs_with_f_es">'[1]X. Box 2 (items 2 &amp; 3)'!$AG$56</definedName>
    <definedName name="lrp_cicl_theft_lrnrs_with_f_jhs">'[1]X. Box 2 (items 2 &amp; 3)'!$AW$56</definedName>
    <definedName name="lrp_cicl_theft_lrnrs_with_f_shs">'[1]X. Box 2 (items 2 &amp; 3)'!$BM$56</definedName>
    <definedName name="lrp_cicl_theft_lrnrs_with_m_es">'[1]X. Box 2 (items 2 &amp; 3)'!$AC$56</definedName>
    <definedName name="lrp_cicl_theft_lrnrs_with_m_jhs">'[1]X. Box 2 (items 2 &amp; 3)'!$AS$56</definedName>
    <definedName name="lrp_cicl_theft_lrnrs_with_m_shs">'[1]X. Box 2 (items 2 &amp; 3)'!$BI$56</definedName>
    <definedName name="lrp_olpc_childlabor_lrnrs_wandwo_f_es">'[1]X. Box 2 (item 4)'!$X$15</definedName>
    <definedName name="lrp_olpc_childlabor_lrnrs_wandwo_f_jhs">'[1]X. Box 2 (item 4)'!$AR$15</definedName>
    <definedName name="lrp_olpc_childlabor_lrnrs_wandwo_f_shs">'[1]X. Box 2 (item 4)'!$BL$15</definedName>
    <definedName name="lrp_olpc_childlabor_lrnrs_wandwo_m_es">'[1]X. Box 2 (item 4)'!$T$15</definedName>
    <definedName name="lrp_olpc_childlabor_lrnrs_wandwo_m_jhs">'[1]X. Box 2 (item 4)'!$AN$15</definedName>
    <definedName name="lrp_olpc_childlabor_lrnrs_wandwo_m_shs">'[1]X. Box 2 (item 4)'!$BH$15</definedName>
    <definedName name="lrp_olpc_childlabor_lrnrs_with_f_es">'[1]X. Box 2 (item 4)'!$AF$15</definedName>
    <definedName name="lrp_olpc_childlabor_lrnrs_with_f_jhs">'[1]X. Box 2 (item 4)'!$AZ$15</definedName>
    <definedName name="lrp_olpc_childlabor_lrnrs_with_f_shs">'[1]X. Box 2 (item 4)'!$BT$15</definedName>
    <definedName name="lrp_olpc_childlabor_lrnrs_with_m_es">'[1]X. Box 2 (item 4)'!$AB$15</definedName>
    <definedName name="lrp_olpc_childlabor_lrnrs_with_m_jhs">'[1]X. Box 2 (item 4)'!$AV$15</definedName>
    <definedName name="lrp_olpc_childlabor_lrnrs_with_m_shs">'[1]X. Box 2 (item 4)'!$BP$15</definedName>
    <definedName name="lrp_olpc_childmarriage_lrnrs_wandwo_f_es">'[1]X. Box 2 (item 4)'!$X$29</definedName>
    <definedName name="lrp_olpc_childmarriage_lrnrs_wandwo_f_jhs">'[1]X. Box 2 (item 4)'!$AR$29</definedName>
    <definedName name="lrp_olpc_childmarriage_lrnrs_wandwo_f_shs">'[1]X. Box 2 (item 4)'!$BL$29</definedName>
    <definedName name="lrp_olpc_childmarriage_lrnrs_wandwo_m_es">'[1]X. Box 2 (item 4)'!$T$29</definedName>
    <definedName name="lrp_olpc_childmarriage_lrnrs_wandwo_m_jhs">'[1]X. Box 2 (item 4)'!$AN$29</definedName>
    <definedName name="lrp_olpc_childmarriage_lrnrs_wandwo_m_shs">'[1]X. Box 2 (item 4)'!$BH$29</definedName>
    <definedName name="lrp_olpc_childmarriage_lrnrs_with_f_es">'[1]X. Box 2 (item 4)'!$AF$29</definedName>
    <definedName name="lrp_olpc_childmarriage_lrnrs_with_f_jhs">'[1]X. Box 2 (item 4)'!$AZ$29</definedName>
    <definedName name="lrp_olpc_childmarriage_lrnrs_with_f_shs">'[1]X. Box 2 (item 4)'!$BT$29</definedName>
    <definedName name="lrp_olpc_childmarriage_lrnrs_with_m_es">'[1]X. Box 2 (item 4)'!$AB$29</definedName>
    <definedName name="lrp_olpc_childmarriage_lrnrs_with_m_jhs">'[1]X. Box 2 (item 4)'!$AV$29</definedName>
    <definedName name="lrp_olpc_childmarriage_lrnrs_with_m_shs">'[1]X. Box 2 (item 4)'!$BP$29</definedName>
    <definedName name="lrp_olpc_corppunishment_lrnrs_wandwo_f_es">'[1]X. Box 2 (item 4)'!$X$23</definedName>
    <definedName name="lrp_olpc_corppunishment_lrnrs_wandwo_f_jhs">'[1]X. Box 2 (item 4)'!$AR$23</definedName>
    <definedName name="lrp_olpc_corppunishment_lrnrs_wandwo_f_shs">'[1]X. Box 2 (item 4)'!$BL$23</definedName>
    <definedName name="lrp_olpc_corppunishment_lrnrs_wandwo_m_es">'[1]X. Box 2 (item 4)'!$T$23</definedName>
    <definedName name="lrp_olpc_corppunishment_lrnrs_wandwo_m_jhs">'[1]X. Box 2 (item 4)'!$AN$23</definedName>
    <definedName name="lrp_olpc_corppunishment_lrnrs_wandwo_m_shs">'[1]X. Box 2 (item 4)'!$BH$23</definedName>
    <definedName name="lrp_olpc_corppunishment_lrnrs_with_f_es">'[1]X. Box 2 (item 4)'!$AF$23</definedName>
    <definedName name="lrp_olpc_corppunishment_lrnrs_with_f_jhs">'[1]X. Box 2 (item 4)'!$AZ$23</definedName>
    <definedName name="lrp_olpc_corppunishment_lrnrs_with_f_shs">'[1]X. Box 2 (item 4)'!$BT$23</definedName>
    <definedName name="lrp_olpc_corppunishment_lrnrs_with_m_es">'[1]X. Box 2 (item 4)'!$AB$23</definedName>
    <definedName name="lrp_olpc_corppunishment_lrnrs_with_m_jhs">'[1]X. Box 2 (item 4)'!$AV$23</definedName>
    <definedName name="lrp_olpc_corppunishment_lrnrs_with_m_shs">'[1]X. Box 2 (item 4)'!$BP$23</definedName>
    <definedName name="lrp_olpc_genderharassment_lrnrs_wandwo_f_es">'[1]X. Box 2 (item 4)'!$X$27</definedName>
    <definedName name="lrp_olpc_genderharassment_lrnrs_wandwo_f_jhs">'[1]X. Box 2 (item 4)'!$AR$27</definedName>
    <definedName name="lrp_olpc_genderharassment_lrnrs_wandwo_f_shs">'[1]X. Box 2 (item 4)'!$BL$27</definedName>
    <definedName name="lrp_olpc_genderharassment_lrnrs_wandwo_m_es">'[1]X. Box 2 (item 4)'!$T$27</definedName>
    <definedName name="lrp_olpc_genderharassment_lrnrs_wandwo_m_jhs">'[1]X. Box 2 (item 4)'!$AN$27</definedName>
    <definedName name="lrp_olpc_genderharassment_lrnrs_wandwo_m_shs">'[1]X. Box 2 (item 4)'!$BH$27</definedName>
    <definedName name="lrp_olpc_genderharassment_lrnrs_with_f_es">'[1]X. Box 2 (item 4)'!$AF$27</definedName>
    <definedName name="lrp_olpc_genderharassment_lrnrs_with_f_jhs">'[1]X. Box 2 (item 4)'!$AZ$27</definedName>
    <definedName name="lrp_olpc_genderharassment_lrnrs_with_f_shs">'[1]X. Box 2 (item 4)'!$BT$27</definedName>
    <definedName name="lrp_olpc_genderharassment_lrnrs_with_m_es">'[1]X. Box 2 (item 4)'!$AB$27</definedName>
    <definedName name="lrp_olpc_genderharassment_lrnrs_with_m_jhs">'[1]X. Box 2 (item 4)'!$AV$27</definedName>
    <definedName name="lrp_olpc_genderharassment_lrnrs_with_m_shs">'[1]X. Box 2 (item 4)'!$BP$27</definedName>
    <definedName name="lrp_olpc_oseac_lrnrs_wandwo_f_es">'[1]X. Box 2 (item 4)'!$X$19</definedName>
    <definedName name="lrp_olpc_oseac_lrnrs_wandwo_f_jhs">'[1]X. Box 2 (item 4)'!$AR$19</definedName>
    <definedName name="lrp_olpc_oseac_lrnrs_wandwo_f_shs">'[1]X. Box 2 (item 4)'!$BL$19</definedName>
    <definedName name="lrp_olpc_oseac_lrnrs_wandwo_m_es">'[1]X. Box 2 (item 4)'!$T$19</definedName>
    <definedName name="lrp_olpc_oseac_lrnrs_wandwo_m_jhs">'[1]X. Box 2 (item 4)'!$AN$19</definedName>
    <definedName name="lrp_olpc_oseac_lrnrs_wandwo_m_shs">'[1]X. Box 2 (item 4)'!$BH$19</definedName>
    <definedName name="lrp_olpc_oseac_lrnrs_with_f_es">'[1]X. Box 2 (item 4)'!$AF$19</definedName>
    <definedName name="lrp_olpc_oseac_lrnrs_with_f_jhs">'[1]X. Box 2 (item 4)'!$AZ$19</definedName>
    <definedName name="lrp_olpc_oseac_lrnrs_with_f_shs">'[1]X. Box 2 (item 4)'!$BT$19</definedName>
    <definedName name="lrp_olpc_oseac_lrnrs_with_m_es">'[1]X. Box 2 (item 4)'!$AB$19</definedName>
    <definedName name="lrp_olpc_oseac_lrnrs_with_m_jhs">'[1]X. Box 2 (item 4)'!$AV$19</definedName>
    <definedName name="lrp_olpc_oseac_lrnrs_with_m_shs">'[1]X. Box 2 (item 4)'!$BP$19</definedName>
    <definedName name="lrp_olpc_otheracts_lrnrs_wandwo_f_es">'[1]X. Box 2 (item 4)'!$X$25</definedName>
    <definedName name="lrp_olpc_otheracts_lrnrs_wandwo_f_jhs">'[1]X. Box 2 (item 4)'!$AR$25</definedName>
    <definedName name="lrp_olpc_otheracts_lrnrs_wandwo_f_shs">'[1]X. Box 2 (item 4)'!$BL$25</definedName>
    <definedName name="lrp_olpc_otheracts_lrnrs_wandwo_m_es">'[1]X. Box 2 (item 4)'!$T$25</definedName>
    <definedName name="lrp_olpc_otheracts_lrnrs_wandwo_m_jhs">'[1]X. Box 2 (item 4)'!$AN$25</definedName>
    <definedName name="lrp_olpc_otheracts_lrnrs_wandwo_m_shs">'[1]X. Box 2 (item 4)'!$BH$25</definedName>
    <definedName name="lrp_olpc_otheracts_lrnrs_with_f_es">'[1]X. Box 2 (item 4)'!$AF$25</definedName>
    <definedName name="lrp_olpc_otheracts_lrnrs_with_f_jhs">'[1]X. Box 2 (item 4)'!$AZ$25</definedName>
    <definedName name="lrp_olpc_otheracts_lrnrs_with_f_shs">'[1]X. Box 2 (item 4)'!$BT$25</definedName>
    <definedName name="lrp_olpc_otheracts_lrnrs_with_m_es">'[1]X. Box 2 (item 4)'!$AB$25</definedName>
    <definedName name="lrp_olpc_otheracts_lrnrs_with_m_jhs">'[1]X. Box 2 (item 4)'!$AV$25</definedName>
    <definedName name="lrp_olpc_otheracts_lrnrs_with_m_shs">'[1]X. Box 2 (item 4)'!$BP$25</definedName>
    <definedName name="lrp_olpc_sexexploit_lrnrs_wandwo_f_es">'[1]X. Box 2 (item 4)'!$X$21</definedName>
    <definedName name="lrp_olpc_sexexploit_lrnrs_wandwo_f_jhs">'[1]X. Box 2 (item 4)'!$AR$21</definedName>
    <definedName name="lrp_olpc_sexexploit_lrnrs_wandwo_f_shs">'[1]X. Box 2 (item 4)'!$BL$21</definedName>
    <definedName name="lrp_olpc_sexexploit_lrnrs_wandwo_m_es">'[1]X. Box 2 (item 4)'!$T$21</definedName>
    <definedName name="lrp_olpc_sexexploit_lrnrs_wandwo_m_jhs">'[1]X. Box 2 (item 4)'!$AN$21</definedName>
    <definedName name="lrp_olpc_sexexploit_lrnrs_wandwo_m_shs">'[1]X. Box 2 (item 4)'!$BH$21</definedName>
    <definedName name="lrp_olpc_sexexploit_lrnrs_with_f_es">'[1]X. Box 2 (item 4)'!$AF$21</definedName>
    <definedName name="lrp_olpc_sexexploit_lrnrs_with_f_jhs">'[1]X. Box 2 (item 4)'!$AZ$21</definedName>
    <definedName name="lrp_olpc_sexexploit_lrnrs_with_f_shs">'[1]X. Box 2 (item 4)'!$BT$21</definedName>
    <definedName name="lrp_olpc_sexexploit_lrnrs_with_m_es">'[1]X. Box 2 (item 4)'!$AB$21</definedName>
    <definedName name="lrp_olpc_sexexploit_lrnrs_with_m_jhs">'[1]X. Box 2 (item 4)'!$AV$21</definedName>
    <definedName name="lrp_olpc_sexexploit_lrnrs_with_m_shs">'[1]X. Box 2 (item 4)'!$BP$21</definedName>
    <definedName name="lrp_olpc_trafficking_lrnrs_wandwo_f_es">'[1]X. Box 2 (item 4)'!$X$17</definedName>
    <definedName name="lrp_olpc_trafficking_lrnrs_wandwo_f_jhs">'[1]X. Box 2 (item 4)'!$AR$17</definedName>
    <definedName name="lrp_olpc_trafficking_lrnrs_wandwo_f_shs">'[1]X. Box 2 (item 4)'!$BL$17</definedName>
    <definedName name="lrp_olpc_trafficking_lrnrs_wandwo_m_es">'[1]X. Box 2 (item 4)'!$T$17</definedName>
    <definedName name="lrp_olpc_trafficking_lrnrs_wandwo_m_jhs">'[1]X. Box 2 (item 4)'!$AN$17</definedName>
    <definedName name="lrp_olpc_trafficking_lrnrs_wandwo_m_shs">'[1]X. Box 2 (item 4)'!$BH$17</definedName>
    <definedName name="lrp_olpc_trafficking_lrnrs_with_f_es">'[1]X. Box 2 (item 4)'!$AF$17</definedName>
    <definedName name="lrp_olpc_trafficking_lrnrs_with_f_jhs">'[1]X. Box 2 (item 4)'!$AZ$17</definedName>
    <definedName name="lrp_olpc_trafficking_lrnrs_with_f_shs">'[1]X. Box 2 (item 4)'!$BT$17</definedName>
    <definedName name="lrp_olpc_trafficking_lrnrs_with_m_es">'[1]X. Box 2 (item 4)'!$AB$17</definedName>
    <definedName name="lrp_olpc_trafficking_lrnrs_with_m_jhs">'[1]X. Box 2 (item 4)'!$AV$17</definedName>
    <definedName name="lrp_olpc_trafficking_lrnrs_with_m_shs">'[1]X. Box 2 (item 4)'!$BP$17</definedName>
    <definedName name="lrp_retaliation_lrnrs_wandwo_f_es">'[1]X. Box 2 (item 1)'!$X$29</definedName>
    <definedName name="lrp_retaliation_lrnrs_wandwo_f_jhs">'[1]X. Box 2 (item 1)'!$AR$29</definedName>
    <definedName name="lrp_retaliation_lrnrs_wandwo_f_shs">'[1]X. Box 2 (item 1)'!$BL$29</definedName>
    <definedName name="lrp_retaliation_lrnrs_wandwo_m_es">'[1]X. Box 2 (item 1)'!$T$29</definedName>
    <definedName name="lrp_retaliation_lrnrs_wandwo_m_jhs">'[1]X. Box 2 (item 1)'!$AN$29</definedName>
    <definedName name="lrp_retaliation_lrnrs_wandwo_m_shs">'[1]X. Box 2 (item 1)'!$BH$29</definedName>
    <definedName name="lrp_retaliation_lrnrs_with_f_es">'[1]X. Box 2 (item 1)'!$AF$29</definedName>
    <definedName name="lrp_retaliation_lrnrs_with_f_jhs">'[1]X. Box 2 (item 1)'!$AZ$29</definedName>
    <definedName name="lrp_retaliation_lrnrs_with_f_shs">'[1]X. Box 2 (item 1)'!$BT$29</definedName>
    <definedName name="lrp_retaliation_lrnrs_with_m_es">'[1]X. Box 2 (item 1)'!$AB$29</definedName>
    <definedName name="lrp_retaliation_lrnrs_with_m_jhs">'[1]X. Box 2 (item 1)'!$AV$29</definedName>
    <definedName name="lrp_retaliation_lrnrs_with_m_shs">'[1]X. Box 2 (item 1)'!$BP$29</definedName>
    <definedName name="mental_cases_attempted_suicide_learners_outside_jan_dec">'IX. Boxes 2 &amp; 3; Table 2'!$N$62</definedName>
    <definedName name="mental_cases_attempted_suicide_learners_within_jan_dec">'IX. Boxes 2 &amp; 3; Table 2'!$N$60</definedName>
    <definedName name="mental_cases_attempted_suicide_personnel_outside_jan_dec">'IX. Boxes 2 &amp; 3; Table 2'!$S$62</definedName>
    <definedName name="mental_cases_attempted_suicide_personnel_within_jan_dec">'IX. Boxes 2 &amp; 3; Table 2'!$S$60</definedName>
    <definedName name="mental_cases_suicide_learners_outside_jan_dec">'IX. Boxes 2 &amp; 3; Table 2'!$N$58</definedName>
    <definedName name="mental_cases_suicide_learners_within_jan_dec">'IX. Boxes 2 &amp; 3; Table 2'!$N$56</definedName>
    <definedName name="mental_cases_suicide_personnel_outside_jan_dec">'IX. Boxes 2 &amp; 3; Table 2'!$S$58</definedName>
    <definedName name="mental_cases_suicide_personnel_within_jan_dec">'IX. Boxes 2 &amp; 3; Table 2'!$S$56</definedName>
    <definedName name="mental_learners_guidance_es_f1">'IX. Box 4'!$S$12</definedName>
    <definedName name="mental_learners_guidance_es_m1">'IX. Box 4'!$M$12</definedName>
    <definedName name="mental_learners_guidance_es_total">'IX. Box 4'!$Y$12</definedName>
    <definedName name="mestrualh_avail_sanpads_yes_guidoff">'IX. Boxes 10 &amp; 11'!$L$36</definedName>
    <definedName name="mestrualh_avail_sanpads_yes_others_specify">'IX. Boxes 10 &amp; 11'!$L$37</definedName>
    <definedName name="mestrualh_avail_sanpads_yeses_schcant">'IX. Boxes 10 &amp; 11'!$L$34</definedName>
    <definedName name="mestrualh_avail_sanpads_yeses_schclinic">'IX. Boxes 10 &amp; 11'!$L$35</definedName>
    <definedName name="MIMAROPA">[1]list!$E$2:$E$8</definedName>
    <definedName name="mono_g1">'[1]II. Box 1'!$I$10</definedName>
    <definedName name="mono_g2">'[1]II. Box 1'!$N$10</definedName>
    <definedName name="mono_g3">'[1]II. Box 1'!$S$10</definedName>
    <definedName name="mono_g4">'[1]II. Box 1'!$X$10</definedName>
    <definedName name="mono_g5">'[1]II. Box 1'!$AC$10</definedName>
    <definedName name="mono_g6">'[1]II. Box 1'!$AH$10</definedName>
    <definedName name="mono_k">'[1]II. Box 1'!$D$10</definedName>
    <definedName name="mooe_alloc_jantodec_amount">'[1]XIV. Table 1'!$K$8</definedName>
    <definedName name="mooe_alloc_jantodec_amount_jhs">'[1]XIV. Table 1'!$T$8</definedName>
    <definedName name="mooe_alloc_jantodec_amount_shs">'[1]XIV. Table 1'!$AC$8</definedName>
    <definedName name="mooe_liqui_jantodec_amount">'[1]XIV. Table 1'!$K$12</definedName>
    <definedName name="mooe_liqui_jantodec_amount_jhs">'[1]XIV. Table 1'!$T$12</definedName>
    <definedName name="mooe_liqui_jantodec_amount_shs">'[1]XIV. Table 1'!$AC$12</definedName>
    <definedName name="mooe_utili_jantodec_amount">'[1]XIV. Table 1'!$K$10</definedName>
    <definedName name="mooe_utili_jantodec_amount_jhs">'[1]XIV. Table 1'!$T$10</definedName>
    <definedName name="mooe_utili_jantodec_amount_shs">'[1]XIV. Table 1'!$AC$10</definedName>
    <definedName name="multi_class1_g1">'[1]II. Box 1'!$N$22</definedName>
    <definedName name="multi_class1_g2">'[1]II. Box 1'!$S$22</definedName>
    <definedName name="multi_class1_g3">'[1]II. Box 1'!$X$22</definedName>
    <definedName name="multi_class1_g4">'[1]II. Box 1'!$AC$22</definedName>
    <definedName name="multi_class1_g5">'[1]II. Box 1'!$AH$22</definedName>
    <definedName name="multi_class1_g6">'[1]II. Box 1'!$AM$22</definedName>
    <definedName name="multi_class1_k">'[1]II. Box 1'!$I$22</definedName>
    <definedName name="multi_class2_g1">'[1]II. Box 1'!$N$24</definedName>
    <definedName name="multi_class2_g2">'[1]II. Box 1'!$S$24</definedName>
    <definedName name="multi_class2_g3">'[1]II. Box 1'!$X$24</definedName>
    <definedName name="multi_class2_g4">'[1]II. Box 1'!$AC$24</definedName>
    <definedName name="multi_class2_g5">'[1]II. Box 1'!$AH$24</definedName>
    <definedName name="multi_class2_g6">'[1]II. Box 1'!$AM$24</definedName>
    <definedName name="multi_class2_k">'[1]II. Box 1'!$I$24</definedName>
    <definedName name="multi_class3_g1">'[1]II. Box 1'!$N$26</definedName>
    <definedName name="multi_class3_g2">'[1]II. Box 1'!$S$26</definedName>
    <definedName name="multi_class3_g3">'[1]II. Box 1'!$X$26</definedName>
    <definedName name="multi_class3_g4">'[1]II. Box 1'!$AC$26</definedName>
    <definedName name="multi_class3_g5">'[1]II. Box 1'!$AH$26</definedName>
    <definedName name="multi_class3_g6">'[1]II. Box 1'!$AM$26</definedName>
    <definedName name="multi_class3_k">'[1]II. Box 1'!$I$26</definedName>
    <definedName name="NCR">[1]list!$Q$2:$Q$17</definedName>
    <definedName name="NIR">[1]list!$R$2:$R$22</definedName>
    <definedName name="num_lrnrs_both_smokedtobacco_usedendsennds_es">'IX. Boxes 5 &amp; 6'!$S$49</definedName>
    <definedName name="num_lrnrs_broughttobacco_es">'IX. Boxes 5 &amp; 6'!$S$39</definedName>
    <definedName name="num_lrnrs_broughttobacco_jhs">'IX. Boxes 5 &amp; 6'!$Z$39</definedName>
    <definedName name="num_lrnrs_broughttobacco_shs">'IX. Boxes 5 &amp; 6'!$AG$39</definedName>
    <definedName name="num_lrnrs_bti_es">'IX. Boxes 5 &amp; 6'!$S$51</definedName>
    <definedName name="num_lrnrs_pregnant_adm_g4">'IX. Boxes 5 &amp; 6'!$P$11</definedName>
    <definedName name="num_lrnrs_pregnant_adm_g5">'IX. Boxes 5 &amp; 6'!$S$11</definedName>
    <definedName name="num_lrnrs_pregnant_adm_g6">'IX. Boxes 5 &amp; 6'!$V$11</definedName>
    <definedName name="num_lrnrs_pregnant_insch_g4">'IX. Boxes 5 &amp; 6'!$P$10</definedName>
    <definedName name="num_lrnrs_pregnant_insch_g5">'IX. Boxes 5 &amp; 6'!$S$10</definedName>
    <definedName name="num_lrnrs_pregnant_insch_g6">'IX. Boxes 5 &amp; 6'!$V$10</definedName>
    <definedName name="num_lrnrs_referredcare_es">'IX. Boxes 5 &amp; 6'!$S$41</definedName>
    <definedName name="num_lrnrs_referredcare_jhs">'IX. Boxes 5 &amp; 6'!$Z$41</definedName>
    <definedName name="num_lrnrs_referredcare_shs">'IX. Boxes 5 &amp; 6'!$AG$41</definedName>
    <definedName name="num_teacher_attended_iped_orientation_f">'[1]XIII. Box 1 (Part B)'!$T$45</definedName>
    <definedName name="num_teacher_attended_iped_orientation_m">'[1]XIII. Box 1 (Part B)'!$N$45</definedName>
    <definedName name="num_teacher_attended_iped_orientation_outside_deped_f">'[1]XIII. Box 1 (Part B)'!$AX$45</definedName>
    <definedName name="num_teacher_attended_iped_orientation_outside_deped_m">'[1]XIII. Box 1 (Part B)'!$AR$45</definedName>
    <definedName name="num_teachers_ip_g1_f">'[1]XIII. Box 1 (Part B)'!$W$29</definedName>
    <definedName name="num_teachers_ip_g1_m">'[1]XIII. Box 1 (Part B)'!$T$29</definedName>
    <definedName name="num_teachers_ip_g2_f">'[1]XIII. Box 1 (Part B)'!$AC$29</definedName>
    <definedName name="num_teachers_ip_g2_m">'[1]XIII. Box 1 (Part B)'!$Z$29</definedName>
    <definedName name="num_teachers_ip_g3_f">'[1]XIII. Box 1 (Part B)'!$AI$29</definedName>
    <definedName name="num_teachers_ip_g3_m">'[1]XIII. Box 1 (Part B)'!$AF$29</definedName>
    <definedName name="num_teachers_ip_g4_f">'[1]XIII. Box 1 (Part B)'!$AO$29</definedName>
    <definedName name="num_teachers_ip_g4_m">'[1]XIII. Box 1 (Part B)'!$AL$29</definedName>
    <definedName name="num_teachers_ip_g5_f">'[1]XIII. Box 1 (Part B)'!$AU$29</definedName>
    <definedName name="num_teachers_ip_g5_m">'[1]XIII. Box 1 (Part B)'!$AR$29</definedName>
    <definedName name="num_teachers_ip_g6_f">'[1]XIII. Box 1 (Part B)'!$BA$29</definedName>
    <definedName name="num_teachers_ip_g6_m">'[1]XIII. Box 1 (Part B)'!$AX$29</definedName>
    <definedName name="num_teachers_ip_k_f">'[1]XIII. Box 1 (Part B)'!$Q$29</definedName>
    <definedName name="num_teachers_ip_k_m">'[1]XIII. Box 1 (Part B)'!$N$29</definedName>
    <definedName name="num_teachers_participate_menttraining_bullying_es">'IX. Box 4'!$M$44</definedName>
    <definedName name="num_teachers_participate_menttraining_depression_es">'IX. Box 4'!$S$44</definedName>
    <definedName name="num_teachers_participate_menttraining_mhcrmangement_es">'IX. Box 4'!$AQ$44</definedName>
    <definedName name="num_teachers_participate_menttraining_psychological_es">'IX. Box 4'!$AK$44</definedName>
    <definedName name="num_teachers_participate_menttraining_selfcare_es">'IX. Box 4'!$AE$44</definedName>
    <definedName name="num_teachers_participate_menttraining_suicideprevention_es">'IX. Box 4'!$Y$44</definedName>
    <definedName name="number_classroom_risk_instructional_safe">'[1]XII. Box 2'!$M$11</definedName>
    <definedName name="number_classroom_risk_instructional_unsafe">'[1]XII. Box 2'!$U$11</definedName>
    <definedName name="number_classroom_risk_noninstructional_safe">'[1]XII. Box 2'!$M$13</definedName>
    <definedName name="number_classroom_risk_noninstructional_unsafe">'[1]XII. Box 2'!$U$13</definedName>
    <definedName name="number_completed_trng_ccam_nonteaching_f">'[1]XII. Box 4 (Parts 3c &amp; 3d)'!$X$25</definedName>
    <definedName name="number_completed_trng_ccam_nonteaching_m">'[1]XII. Box 4 (Parts 3c &amp; 3d)'!$T$25</definedName>
    <definedName name="number_completed_trng_ccam_teaching_f">'[1]XII. Box 4 (Parts 3c &amp; 3d)'!$P$25</definedName>
    <definedName name="number_completed_trng_ccam_teaching_m">'[1]XII. Box 4 (Parts 3c &amp; 3d)'!$L$25</definedName>
    <definedName name="number_completed_trng_drrm_nonteaching_f">'[1]XII. Box 4 (Parts 3c &amp; 3d)'!$X$24</definedName>
    <definedName name="number_completed_trng_drrm_nonteaching_m">'[1]XII. Box 4 (Parts 3c &amp; 3d)'!$T$24</definedName>
    <definedName name="number_completed_trng_drrm_teaching_f">'[1]XII. Box 4 (Parts 3c &amp; 3d)'!$P$24</definedName>
    <definedName name="number_completed_trng_drrm_teaching_m">'[1]XII. Box 4 (Parts 3c &amp; 3d)'!$L$24</definedName>
    <definedName name="number_drrm_ccam_pbpppa_imple_withpartners">'[1]XII. Box 3 (Parts 1 and 2)'!$AE$34</definedName>
    <definedName name="number_emergency_supplies_equip_cadaver_deped">'[1]XII. Box 3 (Parts 1 and 2)'!$R$49</definedName>
    <definedName name="number_emergency_supplies_equip_cadaver_partner">'[1]XII. Box 3 (Parts 1 and 2)'!$U$49</definedName>
    <definedName name="number_emergency_supplies_equip_ccollar_deped">'[1]XII. Box 3 (Parts 1 and 2)'!$R$50</definedName>
    <definedName name="number_emergency_supplies_equip_ccollar_partner">'[1]XII. Box 3 (Parts 1 and 2)'!$U$50</definedName>
    <definedName name="number_emergency_supplies_equip_cot_deped">'[1]XII. Box 3 (Parts 1 and 2)'!$R$51</definedName>
    <definedName name="number_emergency_supplies_equip_cot_partner">'[1]XII. Box 3 (Parts 1 and 2)'!$U$51</definedName>
    <definedName name="number_emergency_supplies_equip_cprboard_deped">'[1]XII. Box 3 (Parts 1 and 2)'!$R$52</definedName>
    <definedName name="number_emergency_supplies_equip_cprboard_partner">'[1]XII. Box 3 (Parts 1 and 2)'!$U$52</definedName>
    <definedName name="number_emergency_supplies_equip_fireextinguisher_deped">'[1]XII. Box 3 (Parts 1 and 2)'!$R$55</definedName>
    <definedName name="number_emergency_supplies_equip_fireextinguisher_partner">'[1]XII. Box 3 (Parts 1 and 2)'!$U$55</definedName>
    <definedName name="number_emergency_supplies_equip_foldstretch_deped">'[1]XII. Box 3 (Parts 1 and 2)'!$R$48</definedName>
    <definedName name="number_emergency_supplies_equip_foldstretch_partner">'[1]XII. Box 3 (Parts 1 and 2)'!$U$48</definedName>
    <definedName name="number_emergency_supplies_equip_gobag_learner_deped">'[1]XII. Box 3 (Parts 1 and 2)'!$R$56</definedName>
    <definedName name="number_emergency_supplies_equip_gobag_learner_partner">'[1]XII. Box 3 (Parts 1 and 2)'!$U$56</definedName>
    <definedName name="number_emergency_supplies_equip_gobag_personnel_deped">'[1]XII. Box 3 (Parts 1 and 2)'!$R$57</definedName>
    <definedName name="number_emergency_supplies_equip_gobag_personnel_partner">'[1]XII. Box 3 (Parts 1 and 2)'!$U$57</definedName>
    <definedName name="number_emergency_supplies_equip_headimmobilizer_deped">'[1]XII. Box 3 (Parts 1 and 2)'!$AK$60</definedName>
    <definedName name="number_emergency_supplies_equip_headimmobilizer_partner">'[1]XII. Box 3 (Parts 1 and 2)'!$AN$60</definedName>
    <definedName name="number_emergency_supplies_equip_headlamp_deped">'[1]XII. Box 3 (Parts 1 and 2)'!$R$53</definedName>
    <definedName name="number_emergency_supplies_equip_headlamp_partner">'[1]XII. Box 3 (Parts 1 and 2)'!$U$53</definedName>
    <definedName name="number_emergency_supplies_equip_ledsearchlight_deped">'[1]XII. Box 3 (Parts 1 and 2)'!$R$59</definedName>
    <definedName name="number_emergency_supplies_equip_ledsearchlight_partner">'[1]XII. Box 3 (Parts 1 and 2)'!$U$59</definedName>
    <definedName name="number_emergency_supplies_equip_lifevest_deped">'[1]XII. Box 3 (Parts 1 and 2)'!$R$60</definedName>
    <definedName name="number_emergency_supplies_equip_lifevest_partner">'[1]XII. Box 3 (Parts 1 and 2)'!$U$60</definedName>
    <definedName name="number_emergency_supplies_equip_mediccushion_deped">'[1]XII. Box 3 (Parts 1 and 2)'!$AK$48</definedName>
    <definedName name="number_emergency_supplies_equip_mediccushion_partner">'[1]XII. Box 3 (Parts 1 and 2)'!$AN$48</definedName>
    <definedName name="number_emergency_supplies_equip_pasystem_deped">'[1]XII. Box 3 (Parts 1 and 2)'!$AK$50</definedName>
    <definedName name="number_emergency_supplies_equip_pasystem_partner">'[1]XII. Box 3 (Parts 1 and 2)'!$AN$50</definedName>
    <definedName name="number_emergency_supplies_equip_radio_deped">'[1]XII. Box 3 (Parts 1 and 2)'!$R$58</definedName>
    <definedName name="number_emergency_supplies_equip_radio_partner">'[1]XII. Box 3 (Parts 1 and 2)'!$U$58</definedName>
    <definedName name="number_emergency_supplies_equip_safetycoat_deped">'[1]XII. Box 3 (Parts 1 and 2)'!$AK$51</definedName>
    <definedName name="number_emergency_supplies_equip_safetycoat_partner">'[1]XII. Box 3 (Parts 1 and 2)'!$AN$51</definedName>
    <definedName name="number_emergency_supplies_equip_safetyhelmet_deped">'[1]XII. Box 3 (Parts 1 and 2)'!$AK$52</definedName>
    <definedName name="number_emergency_supplies_equip_safetyhelmet_partner">'[1]XII. Box 3 (Parts 1 and 2)'!$AN$52</definedName>
    <definedName name="number_emergency_supplies_equip_safetyshoes_deped">'[1]XII. Box 3 (Parts 1 and 2)'!$AK$53</definedName>
    <definedName name="number_emergency_supplies_equip_safetyshoes_partner">'[1]XII. Box 3 (Parts 1 and 2)'!$AN$53</definedName>
    <definedName name="number_emergency_supplies_equip_spineboard_deped">'[1]XII. Box 3 (Parts 1 and 2)'!$AK$49</definedName>
    <definedName name="number_emergency_supplies_equip_spineboard_partner">'[1]XII. Box 3 (Parts 1 and 2)'!$AN$49</definedName>
    <definedName name="number_emergency_supplies_equip_splinter_deped">'[1]XII. Box 3 (Parts 1 and 2)'!$AK$54</definedName>
    <definedName name="number_emergency_supplies_equip_splinter_partner">'[1]XII. Box 3 (Parts 1 and 2)'!$AN$54</definedName>
    <definedName name="number_emergency_supplies_equip_steelbox_deped">'[1]XII. Box 3 (Parts 1 and 2)'!$AK$55</definedName>
    <definedName name="number_emergency_supplies_equip_steelbox_partner">'[1]XII. Box 3 (Parts 1 and 2)'!$AN$55</definedName>
    <definedName name="number_emergency_supplies_equip_steelcabinet_deped">'[1]XII. Box 3 (Parts 1 and 2)'!$AK$56</definedName>
    <definedName name="number_emergency_supplies_equip_steelcabinet_partner">'[1]XII. Box 3 (Parts 1 and 2)'!$AN$56</definedName>
    <definedName name="number_emergency_supplies_equip_trafficvest_deped">'[1]XII. Box 3 (Parts 1 and 2)'!$AK$57</definedName>
    <definedName name="number_emergency_supplies_equip_trafficvest_partner">'[1]XII. Box 3 (Parts 1 and 2)'!$AN$57</definedName>
    <definedName name="number_emergency_supplies_equip_transpobag_deped">'[1]XII. Box 3 (Parts 1 and 2)'!$AK$58</definedName>
    <definedName name="number_emergency_supplies_equip_transpobag_partner">'[1]XII. Box 3 (Parts 1 and 2)'!$AN$58</definedName>
    <definedName name="number_emergency_supplies_equip_traumabag_deped">'[1]XII. Box 3 (Parts 1 and 2)'!$AK$59</definedName>
    <definedName name="number_emergency_supplies_equip_traumabag_partner">'[1]XII. Box 3 (Parts 1 and 2)'!$AN$59</definedName>
    <definedName name="number_emergency_supplies_equip_whistle_deped">'[1]XII. Box 3 (Parts 1 and 2)'!$R$54</definedName>
    <definedName name="number_emergency_supplies_equip_whistle_partner">'[1]XII. Box 3 (Parts 1 and 2)'!$U$54</definedName>
    <definedName name="number_instruct_spaces_constructed_inclusive_resilient_design">'[1]XII. Box 2'!$AI$22</definedName>
    <definedName name="number_instruct_spaces_retrofitted">'[1]XII. Box 2'!$AI$16</definedName>
    <definedName name="number_learners_affect_bss_exclude_f">'[1]XII. Box 3 (Part 3)'!$V$53</definedName>
    <definedName name="number_learners_affect_bss_exclude_m">'[1]XII. Box 3 (Part 3)'!$S$53</definedName>
    <definedName name="number_learners_affect_bss_ip_f">'[1]XII. Box 3 (Part 3)'!$AB$53</definedName>
    <definedName name="number_learners_affect_bss_ip_m">'[1]XII. Box 3 (Part 3)'!$Y$53</definedName>
    <definedName name="number_learners_affect_bss_lwd_f">'[1]XII. Box 3 (Part 3)'!$AN$53</definedName>
    <definedName name="number_learners_affect_bss_lwd_m">'[1]XII. Box 3 (Part 3)'!$AK$53</definedName>
    <definedName name="number_learners_affect_bss_muslim_f">'[1]XII. Box 3 (Part 3)'!$AH$53</definedName>
    <definedName name="number_learners_affect_bss_muslim_m">'[1]XII. Box 3 (Part 3)'!$AE$53</definedName>
    <definedName name="number_learners_affect_fcs_exclude_f">'[1]XII. Box 3 (Part 3)'!$V$55</definedName>
    <definedName name="number_learners_affect_fcs_exclude_m">'[1]XII. Box 3 (Part 3)'!$S$55</definedName>
    <definedName name="number_learners_affect_fcs_ip_f">'[1]XII. Box 3 (Part 3)'!$AB$55</definedName>
    <definedName name="number_learners_affect_fcs_ip_m">'[1]XII. Box 3 (Part 3)'!$Y$55</definedName>
    <definedName name="number_learners_affect_fcs_lwd_f">'[1]XII. Box 3 (Part 3)'!$AN$55</definedName>
    <definedName name="number_learners_affect_fcs_lwd_m">'[1]XII. Box 3 (Part 3)'!$AK$55</definedName>
    <definedName name="number_learners_affect_fcs_muslim_f">'[1]XII. Box 3 (Part 3)'!$AH$55</definedName>
    <definedName name="number_learners_affect_fcs_muslim_m">'[1]XII. Box 3 (Part 3)'!$AE$55</definedName>
    <definedName name="number_learners_affect_fnss_exclude_f">'[1]XII. Box 3 (Part 3)'!$V$57</definedName>
    <definedName name="number_learners_affect_fnss_exclude_m">'[1]XII. Box 3 (Part 3)'!$S$57</definedName>
    <definedName name="number_learners_affect_fnss_ip_f">'[1]XII. Box 3 (Part 3)'!$AB$57</definedName>
    <definedName name="number_learners_affect_fnss_ip_m">'[1]XII. Box 3 (Part 3)'!$Y$57</definedName>
    <definedName name="number_learners_affect_fnss_lwd_f">'[1]XII. Box 3 (Part 3)'!$AN$57</definedName>
    <definedName name="number_learners_affect_fnss_lwd_m">'[1]XII. Box 3 (Part 3)'!$AK$57</definedName>
    <definedName name="number_learners_affect_fnss_muslim_f">'[1]XII. Box 3 (Part 3)'!$AH$57</definedName>
    <definedName name="number_learners_affect_fnss_muslim_m">'[1]XII. Box 3 (Part 3)'!$AE$57</definedName>
    <definedName name="number_learners_affect_mhpss_exclude_f">'[1]XII. Box 3 (Part 3)'!$V$51</definedName>
    <definedName name="number_learners_affect_mhpss_exclude_m">'[1]XII. Box 3 (Part 3)'!$S$51</definedName>
    <definedName name="number_learners_affect_mhpss_ip_f">'[1]XII. Box 3 (Part 3)'!$AB$51</definedName>
    <definedName name="number_learners_affect_mhpss_ip_m">'[1]XII. Box 3 (Part 3)'!$Y$51</definedName>
    <definedName name="number_learners_affect_mhpss_lwd_f">'[1]XII. Box 3 (Part 3)'!$AN$51</definedName>
    <definedName name="number_learners_affect_mhpss_lwd_m">'[1]XII. Box 3 (Part 3)'!$AK$51</definedName>
    <definedName name="number_learners_affect_mhpss_muslim_f">'[1]XII. Box 3 (Part 3)'!$AH$51</definedName>
    <definedName name="number_learners_affect_mhpss_muslim_m">'[1]XII. Box 3 (Part 3)'!$AE$51</definedName>
    <definedName name="number_learners_affect_ref_mechanism_exclude_f">'[1]XII. Box 3 (Part 3)'!$V$61</definedName>
    <definedName name="number_learners_affect_ref_mechanism_exclude_m">'[1]XII. Box 3 (Part 3)'!$S$61</definedName>
    <definedName name="number_learners_affect_ref_mechanism_ip_f">'[1]XII. Box 3 (Part 3)'!$AB$61</definedName>
    <definedName name="number_learners_affect_ref_mechanism_ip_m">'[1]XII. Box 3 (Part 3)'!$Y$61</definedName>
    <definedName name="number_learners_affect_ref_mechanism_lwd_f">'[1]XII. Box 3 (Part 3)'!$AN$61</definedName>
    <definedName name="number_learners_affect_ref_mechanism_lwd_m">'[1]XII. Box 3 (Part 3)'!$AK$61</definedName>
    <definedName name="number_learners_affect_ref_mechanism_muslim_f">'[1]XII. Box 3 (Part 3)'!$AH$61</definedName>
    <definedName name="number_learners_affect_ref_mechanism_muslim_m">'[1]XII. Box 3 (Part 3)'!$AE$61</definedName>
    <definedName name="number_learners_affect_ss_exclude_f">'[1]XII. Box 3 (Part 3)'!$V$59</definedName>
    <definedName name="number_learners_affect_ss_exclude_m">'[1]XII. Box 3 (Part 3)'!$S$59</definedName>
    <definedName name="number_learners_affect_ss_ip_f">'[1]XII. Box 3 (Part 3)'!$AB$59</definedName>
    <definedName name="number_learners_affect_ss_ip_m">'[1]XII. Box 3 (Part 3)'!$Y$59</definedName>
    <definedName name="number_learners_affect_ss_lwd_f">'[1]XII. Box 3 (Part 3)'!$AN$59</definedName>
    <definedName name="number_learners_affect_ss_lwd_m">'[1]XII. Box 3 (Part 3)'!$AK$59</definedName>
    <definedName name="number_learners_affect_ss_muslim_f">'[1]XII. Box 3 (Part 3)'!$AH$59</definedName>
    <definedName name="number_learners_affect_ss_muslim_m">'[1]XII. Box 3 (Part 3)'!$AE$59</definedName>
    <definedName name="number_led_bylearner_ccam">'[1]XII. Box 4 (Parts 3c &amp; 3d)'!$K$13</definedName>
    <definedName name="number_led_bylearner_drrm">'[1]XII. Box 4 (Parts 3c &amp; 3d)'!$K$12</definedName>
    <definedName name="number_mhpss_training_ccam_learner">'[1]XII. Box 4 (Parts 3c &amp; 3d)'!$K$35</definedName>
    <definedName name="number_mhpss_training_ccam_personnel">'[1]XII. Box 4 (Parts 3c &amp; 3d)'!$Q$35</definedName>
    <definedName name="number_mhpss_training_drrm_learner">'[1]XII. Box 4 (Parts 3c &amp; 3d)'!$K$34</definedName>
    <definedName name="number_mhpss_training_drrm_personnel">'[1]XII. Box 4 (Parts 3c &amp; 3d)'!$Q$34</definedName>
    <definedName name="number_noninstruct_spaces_constructed_inclusive_resilient_design">'[1]XII. Box 2'!$AI$25</definedName>
    <definedName name="number_noninstruct_spaces_retrofitted">'[1]XII. Box 2'!$AI$19</definedName>
    <definedName name="number_partners_support_drrm_ccamppa_activities">'[1]XII. Box 3 (Parts 1 and 2)'!$AE$31</definedName>
    <definedName name="number_personnel_mhpss_psychfirstaid_nonteaching_f">'[1]XII. Box 4 (Parts 3c &amp; 3d)'!$AV$34</definedName>
    <definedName name="number_personnel_mhpss_psychfirstaid_nonteaching_m">'[1]XII. Box 4 (Parts 3c &amp; 3d)'!$AR$34</definedName>
    <definedName name="number_personnel_mhpss_psychfirstaid_teaching_f">'[1]XII. Box 4 (Parts 3c &amp; 3d)'!$AN$34</definedName>
    <definedName name="number_personnel_mhpss_psychfirstaid_teaching_m">'[1]XII. Box 4 (Parts 3c &amp; 3d)'!$AJ$34</definedName>
    <definedName name="number_personnel_trained_adm_aftermath_teaching_f">'[1]XII. Box 3 (Part 3)'!$AD$29</definedName>
    <definedName name="number_personnel_trained_adm_aftermath_teaching_m">'[1]XII. Box 3 (Part 3)'!$X$29</definedName>
    <definedName name="number_personnel_trained_adm_partofresponse_teaching_f">'[1]XII. Box 3 (Part 3)'!$AD$27</definedName>
    <definedName name="number_personnel_trained_adm_partofresponse_teaching_m">'[1]XII. Box 3 (Part 3)'!$X$27</definedName>
    <definedName name="number_personnel_trained_ccam_bypartners_nonteaching_f">'[1]XII. Box 4 (Part 3a)'!$Z$13</definedName>
    <definedName name="number_personnel_trained_ccam_bypartners_nonteaching_m">'[1]XII. Box 4 (Part 3a)'!$U$13</definedName>
    <definedName name="number_personnel_trained_ccam_bypartners_teaching_f">'[1]XII. Box 4 (Part 3a)'!$P$13</definedName>
    <definedName name="number_personnel_trained_ccam_bypartners_teaching_m">'[1]XII. Box 4 (Part 3a)'!$K$13</definedName>
    <definedName name="number_personnel_trained_drrm_bypartners_nonteaching_f">'[1]XII. Box 4 (Part 3a)'!$Z$12</definedName>
    <definedName name="number_personnel_trained_drrm_bypartners_nonteaching_m">'[1]XII. Box 4 (Part 3a)'!$U$12</definedName>
    <definedName name="number_personnel_trained_drrm_bypartners_teaching_f">'[1]XII. Box 4 (Part 3a)'!$P$12</definedName>
    <definedName name="number_personnel_trained_drrm_bypartners_teaching_m">'[1]XII. Box 4 (Part 3a)'!$K$12</definedName>
    <definedName name="number_response_rescue_equip_bicycle_deped">'[1]XII. Box 3 (Parts 1 and 2)'!$R$65</definedName>
    <definedName name="number_response_rescue_equip_bicycle_partner">'[1]XII. Box 3 (Parts 1 and 2)'!$U$65</definedName>
    <definedName name="number_response_rescue_equip_firehose_deped">'[1]XII. Box 3 (Parts 1 and 2)'!$R$66</definedName>
    <definedName name="number_response_rescue_equip_firehose_partner">'[1]XII. Box 3 (Parts 1 and 2)'!$U$66</definedName>
    <definedName name="number_response_rescue_equip_motorbanca_deped">'[1]XII. Box 3 (Parts 1 and 2)'!$R$67</definedName>
    <definedName name="number_response_rescue_equip_motorbanca_partner">'[1]XII. Box 3 (Parts 1 and 2)'!$U$67</definedName>
    <definedName name="number_response_rescue_equip_powersprayer_deped">'[1]XII. Box 3 (Parts 1 and 2)'!$R$68</definedName>
    <definedName name="number_response_rescue_equip_powersprayer_partner">'[1]XII. Box 3 (Parts 1 and 2)'!$U$68</definedName>
    <definedName name="number_stakeholder_ccam_art_climatechange_nonteaching_f">'[1]XII. Box 4 (Part 3a)'!$BB$41</definedName>
    <definedName name="number_stakeholder_ccam_art_climatechange_nonteaching_m">'[1]XII. Box 4 (Part 3a)'!$AW$41</definedName>
    <definedName name="number_stakeholder_ccam_art_climatechange_teaching_f">'[1]XII. Box 4 (Part 3a)'!$AR$41</definedName>
    <definedName name="number_stakeholder_ccam_art_climatechange_teaching_m">'[1]XII. Box 4 (Part 3a)'!$AM$41</definedName>
    <definedName name="number_stakeholder_ccam_art_contests_exclude_f">'[1]XII. Box 4 (Part 3b)'!$AK$28</definedName>
    <definedName name="number_stakeholder_ccam_art_contests_exclude_m">'[1]XII. Box 4 (Part 3b)'!$AH$28</definedName>
    <definedName name="number_stakeholder_ccam_art_contests_ip_f">'[1]XII. Box 4 (Part 3b)'!$AQ$28</definedName>
    <definedName name="number_stakeholder_ccam_art_contests_ip_m">'[1]XII. Box 4 (Part 3b)'!$AN$28</definedName>
    <definedName name="number_stakeholder_ccam_art_contests_lwd_f">'[1]XII. Box 4 (Part 3b)'!$BC$28</definedName>
    <definedName name="number_stakeholder_ccam_art_contests_lwd_m">'[1]XII. Box 4 (Part 3b)'!$AZ$28</definedName>
    <definedName name="number_stakeholder_ccam_art_contests_muslim_f">'[1]XII. Box 4 (Part 3b)'!$AW$28</definedName>
    <definedName name="number_stakeholder_ccam_art_contests_muslim_m">'[1]XII. Box 4 (Part 3b)'!$AT$28</definedName>
    <definedName name="number_stakeholder_ccam_celebration_events_exclude_f">'[1]XII. Box 4 (Part 3b)'!$AK$32</definedName>
    <definedName name="number_stakeholder_ccam_celebration_events_exclude_m">'[1]XII. Box 4 (Part 3b)'!$AH$32</definedName>
    <definedName name="number_stakeholder_ccam_celebration_events_ip_f">'[1]XII. Box 4 (Part 3b)'!$AQ$32</definedName>
    <definedName name="number_stakeholder_ccam_celebration_events_ip_m">'[1]XII. Box 4 (Part 3b)'!$AN$32</definedName>
    <definedName name="number_stakeholder_ccam_celebration_events_lwd_f">'[1]XII. Box 4 (Part 3b)'!$BC$32</definedName>
    <definedName name="number_stakeholder_ccam_celebration_events_lwd_m">'[1]XII. Box 4 (Part 3b)'!$AZ$32</definedName>
    <definedName name="number_stakeholder_ccam_celebration_events_muslim_f">'[1]XII. Box 4 (Part 3b)'!$AW$32</definedName>
    <definedName name="number_stakeholder_ccam_celebration_events_muslim_m">'[1]XII. Box 4 (Part 3b)'!$AT$32</definedName>
    <definedName name="number_stakeholder_ccam_celebration_events_nonteaching_f">'[1]XII. Box 4 (Part 3a)'!$BB$49</definedName>
    <definedName name="number_stakeholder_ccam_celebration_events_nonteaching_m">'[1]XII. Box 4 (Part 3a)'!$AW$49</definedName>
    <definedName name="number_stakeholder_ccam_celebration_events_teaching_f">'[1]XII. Box 4 (Part 3a)'!$AR$49</definedName>
    <definedName name="number_stakeholder_ccam_celebration_events_teaching_m">'[1]XII. Box 4 (Part 3a)'!$AM$49</definedName>
    <definedName name="number_stakeholder_ccam_envi_journalism_exclude_f">'[1]XII. Box 4 (Part 3b)'!$AK$30</definedName>
    <definedName name="number_stakeholder_ccam_envi_journalism_exclude_m">'[1]XII. Box 4 (Part 3b)'!$AH$30</definedName>
    <definedName name="number_stakeholder_ccam_envi_journalism_ip_f">'[1]XII. Box 4 (Part 3b)'!$AQ$30</definedName>
    <definedName name="number_stakeholder_ccam_envi_journalism_ip_m">'[1]XII. Box 4 (Part 3b)'!$AN$30</definedName>
    <definedName name="number_stakeholder_ccam_envi_journalism_lwd_f">'[1]XII. Box 4 (Part 3b)'!$BC$30</definedName>
    <definedName name="number_stakeholder_ccam_envi_journalism_lwd_m">'[1]XII. Box 4 (Part 3b)'!$AZ$30</definedName>
    <definedName name="number_stakeholder_ccam_envi_journalism_muslim_f">'[1]XII. Box 4 (Part 3b)'!$AW$30</definedName>
    <definedName name="number_stakeholder_ccam_envi_journalism_muslim_m">'[1]XII. Box 4 (Part 3b)'!$AT$30</definedName>
    <definedName name="number_stakeholder_ccam_envi_journalism_nonteaching_f">'[1]XII. Box 4 (Part 3a)'!$BB$43</definedName>
    <definedName name="number_stakeholder_ccam_envi_journalism_nonteaching_m">'[1]XII. Box 4 (Part 3a)'!$AW$43</definedName>
    <definedName name="number_stakeholder_ccam_envi_journalism_teaching_f">'[1]XII. Box 4 (Part 3a)'!$AR$43</definedName>
    <definedName name="number_stakeholder_ccam_envi_journalism_teaching_m">'[1]XII. Box 4 (Part 3a)'!$AM$43</definedName>
    <definedName name="number_stakeholder_ccam_faterial_recovery_nonteaching_f">'[1]XII. Box 4 (Part 3a)'!$BB$47</definedName>
    <definedName name="number_stakeholder_ccam_faterial_recovery_teaching_f">'[1]XII. Box 4 (Part 3a)'!$AR$47</definedName>
    <definedName name="number_stakeholder_ccam_gulayan_paaralan_nonteaching_f">'[1]XII. Box 4 (Part 3a)'!$BB$45</definedName>
    <definedName name="number_stakeholder_ccam_gulayan_paaralan_nonteaching_m">'[1]XII. Box 4 (Part 3a)'!$AW$45</definedName>
    <definedName name="number_stakeholder_ccam_gulayan_paaralan_teaching_f">'[1]XII. Box 4 (Part 3a)'!$AR$45</definedName>
    <definedName name="number_stakeholder_ccam_gulayan_paaralan_teaching_m">'[1]XII. Box 4 (Part 3a)'!$AM$45</definedName>
    <definedName name="number_stakeholder_ccam_learner_others_specify">'[1]XII. Box 4 (Part 3b)'!$L$34</definedName>
    <definedName name="number_stakeholder_ccam_material_recovery_nonteaching_m">'[1]XII. Box 4 (Part 3a)'!$AW$47</definedName>
    <definedName name="number_stakeholder_ccam_material_recovery_teaching_m">'[1]XII. Box 4 (Part 3a)'!$AM$47</definedName>
    <definedName name="number_stakeholder_ccam_others_exclude_f">'[1]XII. Box 4 (Part 3b)'!$AK$34</definedName>
    <definedName name="number_stakeholder_ccam_others_exclude_m">'[1]XII. Box 4 (Part 3b)'!$AH$34</definedName>
    <definedName name="number_stakeholder_ccam_others_ip_f">'[1]XII. Box 4 (Part 3b)'!$AQ$34</definedName>
    <definedName name="number_stakeholder_ccam_others_ip_m">'[1]XII. Box 4 (Part 3b)'!$AN$34</definedName>
    <definedName name="number_stakeholder_ccam_others_lwd_f">'[1]XII. Box 4 (Part 3b)'!$BC$34</definedName>
    <definedName name="number_stakeholder_ccam_others_lwd_m">'[1]XII. Box 4 (Part 3b)'!$AZ$34</definedName>
    <definedName name="number_stakeholder_ccam_others_muslim_f">'[1]XII. Box 4 (Part 3b)'!$AW$34</definedName>
    <definedName name="number_stakeholder_ccam_others_muslim_m">'[1]XII. Box 4 (Part 3b)'!$AT$34</definedName>
    <definedName name="number_stakeholder_ccam_others_nonteaching_f">'[1]XII. Box 4 (Part 3a)'!$BB$51</definedName>
    <definedName name="number_stakeholder_ccam_others_nonteaching_m">'[1]XII. Box 4 (Part 3a)'!$AW$51</definedName>
    <definedName name="number_stakeholder_ccam_others_specify">'[1]XII. Box 4 (Part 3a)'!$L$51</definedName>
    <definedName name="number_stakeholder_ccam_others_teaching_f">'[1]XII. Box 4 (Part 3a)'!$AR$51</definedName>
    <definedName name="number_stakeholder_ccam_others_teaching_m">'[1]XII. Box 4 (Part 3a)'!$AM$51</definedName>
    <definedName name="number_stakeholder_drrm_campusjourn_exclude_f">'[1]XII. Box 4 (Part 3b)'!$AK$23</definedName>
    <definedName name="number_stakeholder_drrm_campusjourn_exclude_m">'[1]XII. Box 4 (Part 3b)'!$AH$23</definedName>
    <definedName name="number_stakeholder_drrm_campusjourn_ip_f">'[1]XII. Box 4 (Part 3b)'!$AQ$23</definedName>
    <definedName name="number_stakeholder_drrm_campusjourn_ip_m">'[1]XII. Box 4 (Part 3b)'!$AN$23</definedName>
    <definedName name="number_stakeholder_drrm_campusjourn_lwd_f">'[1]XII. Box 4 (Part 3b)'!$BC$23</definedName>
    <definedName name="number_stakeholder_drrm_campusjourn_lwd_m">'[1]XII. Box 4 (Part 3b)'!$AZ$23</definedName>
    <definedName name="number_stakeholder_drrm_campusjourn_muslim_f">'[1]XII. Box 4 (Part 3b)'!$AW$23</definedName>
    <definedName name="number_stakeholder_drrm_campusjourn_muslim_m">'[1]XII. Box 4 (Part 3b)'!$AT$23</definedName>
    <definedName name="number_stakeholder_drrm_campusjourn_nonteaching_f">'[1]XII. Box 4 (Part 3a)'!$BB$36</definedName>
    <definedName name="number_stakeholder_drrm_campusjourn_nonteaching_m">'[1]XII. Box 4 (Part 3a)'!$AW$36</definedName>
    <definedName name="number_stakeholder_drrm_campusjourn_teaching_f">'[1]XII. Box 4 (Part 3a)'!$AR$36</definedName>
    <definedName name="number_stakeholder_drrm_campusjourn_teaching_m">'[1]XII. Box 4 (Part 3a)'!$AM$36</definedName>
    <definedName name="number_stakeholder_drrm_celebration_events_exclude_f">'[1]XII. Box 4 (Part 3b)'!$AK$21</definedName>
    <definedName name="number_stakeholder_drrm_celebration_events_exclude_m">'[1]XII. Box 4 (Part 3b)'!$AH$21</definedName>
    <definedName name="number_stakeholder_drrm_celebration_events_ip_f">'[1]XII. Box 4 (Part 3b)'!$AQ$21</definedName>
    <definedName name="number_stakeholder_drrm_celebration_events_ip_m">'[1]XII. Box 4 (Part 3b)'!$AN$21</definedName>
    <definedName name="number_stakeholder_drrm_celebration_events_lwd_f">'[1]XII. Box 4 (Part 3b)'!$BC$21</definedName>
    <definedName name="number_stakeholder_drrm_celebration_events_lwd_m">'[1]XII. Box 4 (Part 3b)'!$AZ$21</definedName>
    <definedName name="number_stakeholder_drrm_celebration_events_muslim_f">'[1]XII. Box 4 (Part 3b)'!$AW$21</definedName>
    <definedName name="number_stakeholder_drrm_celebration_events_muslim_m">'[1]XII. Box 4 (Part 3b)'!$AT$21</definedName>
    <definedName name="number_stakeholder_drrm_celebration_events_nonteaching_f">'[1]XII. Box 4 (Part 3a)'!$BB$34</definedName>
    <definedName name="number_stakeholder_drrm_celebration_events_nonteaching_m">'[1]XII. Box 4 (Part 3a)'!$AW$34</definedName>
    <definedName name="number_stakeholder_drrm_celebration_events_teaching_f">'[1]XII. Box 4 (Part 3a)'!$AR$34</definedName>
    <definedName name="number_stakeholder_drrm_celebration_events_teaching_m">'[1]XII. Box 4 (Part 3a)'!$AM$34</definedName>
    <definedName name="number_stakeholder_drrm_earthquake_prepare_exclude_f">'[1]XII. Box 4 (Part 3b)'!$AK$17</definedName>
    <definedName name="number_stakeholder_drrm_earthquake_prepare_exclude_m">'[1]XII. Box 4 (Part 3b)'!$AH$17</definedName>
    <definedName name="number_stakeholder_drrm_earthquake_prepare_ip_f">'[1]XII. Box 4 (Part 3b)'!$AQ$17</definedName>
    <definedName name="number_stakeholder_drrm_earthquake_prepare_ip_m">'[1]XII. Box 4 (Part 3b)'!$AN$17</definedName>
    <definedName name="number_stakeholder_drrm_earthquake_prepare_lwd_f">'[1]XII. Box 4 (Part 3b)'!$BC$17</definedName>
    <definedName name="number_stakeholder_drrm_earthquake_prepare_lwd_m">'[1]XII. Box 4 (Part 3b)'!$AZ$17</definedName>
    <definedName name="number_stakeholder_drrm_earthquake_prepare_muslim_f">'[1]XII. Box 4 (Part 3b)'!$AW$17</definedName>
    <definedName name="number_stakeholder_drrm_earthquake_prepare_muslim_m">'[1]XII. Box 4 (Part 3b)'!$AT$17</definedName>
    <definedName name="number_stakeholder_drrm_earthquake_prepare_nonteaching_f">'[1]XII. Box 4 (Part 3a)'!$BB$30</definedName>
    <definedName name="number_stakeholder_drrm_earthquake_prepare_nonteaching_m">'[1]XII. Box 4 (Part 3a)'!$AW$30</definedName>
    <definedName name="number_stakeholder_drrm_earthquake_prepare_teaching_f">'[1]XII. Box 4 (Part 3a)'!$AR$30</definedName>
    <definedName name="number_stakeholder_drrm_earthquake_prepare_teaching_m">'[1]XII. Box 4 (Part 3a)'!$AM$30</definedName>
    <definedName name="number_stakeholder_drrm_firstaid_exclude_f">'[1]XII. Box 4 (Part 3b)'!$AK$15</definedName>
    <definedName name="number_stakeholder_drrm_firstaid_exclude_m">'[1]XII. Box 4 (Part 3b)'!$AH$15</definedName>
    <definedName name="number_stakeholder_drrm_firstaid_ip_f">'[1]XII. Box 4 (Part 3b)'!$AQ$15</definedName>
    <definedName name="number_stakeholder_drrm_firstaid_ip_m">'[1]XII. Box 4 (Part 3b)'!$AN$15</definedName>
    <definedName name="number_stakeholder_drrm_firstaid_lwd_f">'[1]XII. Box 4 (Part 3b)'!$BC$15</definedName>
    <definedName name="number_stakeholder_drrm_firstaid_lwd_m">'[1]XII. Box 4 (Part 3b)'!$AZ$15</definedName>
    <definedName name="number_stakeholder_drrm_firstaid_muslim_f">'[1]XII. Box 4 (Part 3b)'!$AW$15</definedName>
    <definedName name="number_stakeholder_drrm_firstaid_muslim_m">'[1]XII. Box 4 (Part 3b)'!$AT$15</definedName>
    <definedName name="number_stakeholder_drrm_firstaid_nonteaching_f">'[1]XII. Box 4 (Part 3a)'!$BB$28</definedName>
    <definedName name="number_stakeholder_drrm_firstaid_nonteaching_m">'[1]XII. Box 4 (Part 3a)'!$AW$28</definedName>
    <definedName name="number_stakeholder_drrm_firstaid_teaching_f">'[1]XII. Box 4 (Part 3a)'!$AR$28</definedName>
    <definedName name="number_stakeholder_drrm_firstaid_teaching_m">'[1]XII. Box 4 (Part 3a)'!$AM$28</definedName>
    <definedName name="number_stakeholder_drrm_learner_others_specify">'[1]XII. Box 4 (Part 3b)'!$L$25</definedName>
    <definedName name="number_stakeholder_drrm_others_exclude_f">'[1]XII. Box 4 (Part 3b)'!$AK$25</definedName>
    <definedName name="number_stakeholder_drrm_others_exclude_m">'[1]XII. Box 4 (Part 3b)'!$AH$25</definedName>
    <definedName name="number_stakeholder_drrm_others_ip_f">'[1]XII. Box 4 (Part 3b)'!$AQ$25</definedName>
    <definedName name="number_stakeholder_drrm_others_ip_m">'[1]XII. Box 4 (Part 3b)'!$AN$25</definedName>
    <definedName name="number_stakeholder_drrm_others_lwd_f">'[1]XII. Box 4 (Part 3b)'!$BC$25</definedName>
    <definedName name="number_stakeholder_drrm_others_lwd_m">'[1]XII. Box 4 (Part 3b)'!$AZ$25</definedName>
    <definedName name="number_stakeholder_drrm_others_muslim_f">'[1]XII. Box 4 (Part 3b)'!$AW$25</definedName>
    <definedName name="number_stakeholder_drrm_others_muslim_m">'[1]XII. Box 4 (Part 3b)'!$AT$25</definedName>
    <definedName name="number_stakeholder_drrm_others_nonteaching_f">'[1]XII. Box 4 (Part 3a)'!$BB$38</definedName>
    <definedName name="number_stakeholder_drrm_others_nonteaching_m">'[1]XII. Box 4 (Part 3a)'!$AW$38</definedName>
    <definedName name="number_stakeholder_drrm_others_specify">'[1]XII. Box 4 (Part 3a)'!$L$38</definedName>
    <definedName name="number_stakeholder_drrm_others_teaching_f">'[1]XII. Box 4 (Part 3a)'!$AR$38</definedName>
    <definedName name="number_stakeholder_drrm_others_teaching_m">'[1]XII. Box 4 (Part 3a)'!$AM$38</definedName>
    <definedName name="number_stakeholder_drrm_swhm_exclude_f">'[1]XII. Box 4 (Part 3b)'!$AK$19</definedName>
    <definedName name="number_stakeholder_drrm_swhm_exclude_m">'[1]XII. Box 4 (Part 3b)'!$AH$19</definedName>
    <definedName name="number_stakeholder_drrm_swhm_ip_f">'[1]XII. Box 4 (Part 3b)'!$AQ$19</definedName>
    <definedName name="number_stakeholder_drrm_swhm_ip_m">'[1]XII. Box 4 (Part 3b)'!$AN$19</definedName>
    <definedName name="number_stakeholder_drrm_swhm_lwd_f">'[1]XII. Box 4 (Part 3b)'!$BC$19</definedName>
    <definedName name="number_stakeholder_drrm_swhm_lwd_m">'[1]XII. Box 4 (Part 3b)'!$AZ$19</definedName>
    <definedName name="number_stakeholder_drrm_swhm_muslim_f">'[1]XII. Box 4 (Part 3b)'!$AW$19</definedName>
    <definedName name="number_stakeholder_drrm_swhm_muslim_m">'[1]XII. Box 4 (Part 3b)'!$AT$19</definedName>
    <definedName name="number_stakeholder_drrm_swhm_nonteaching_f">'[1]XII. Box 4 (Part 3a)'!$BB$32</definedName>
    <definedName name="number_stakeholder_drrm_swhm_nonteaching_m">'[1]XII. Box 4 (Part 3a)'!$AW$32</definedName>
    <definedName name="number_stakeholder_drrm_swhm_teaching_f">'[1]XII. Box 4 (Part 3a)'!$AR$32</definedName>
    <definedName name="number_stakeholder_drrm_swhm_teaching_m">'[1]XII. Box 4 (Part 3a)'!$AM$32</definedName>
    <definedName name="number_stakeholders_participated_drrmccampbp_learner">'[1]XII. Box 4 (Part 3a)'!$E$19</definedName>
    <definedName name="number_stakeholders_participated_drrmccampbp_lgu">'[1]XII. Box 4 (Part 3a)'!$Z$19</definedName>
    <definedName name="number_stakeholders_participated_drrmccampbp_ngo">'[1]XII. Box 4 (Part 3a)'!$AG$19</definedName>
    <definedName name="number_stakeholders_participated_drrmccampbp_parent">'[1]XII. Box 4 (Part 3a)'!$S$19</definedName>
    <definedName name="number_stakeholders_participated_drrmccampbp_personnel">'[1]XII. Box 4 (Part 3a)'!$L$19</definedName>
    <definedName name="number_teachers_trained_integ_drrmccampbp_daily_f">'[1]XII. Box 4 (Parts 3c &amp; 3d)'!$AM$24</definedName>
    <definedName name="number_teachers_trained_integ_drrmccampbp_daily_m">'[1]XII. Box 4 (Parts 3c &amp; 3d)'!$AJ$24</definedName>
    <definedName name="number_training_conducted_learner_ccam">'[1]XII. Box 4 (Part 3b)'!$K$47</definedName>
    <definedName name="number_training_conducted_learner_drrm">'[1]XII. Box 4 (Part 3b)'!$K$46</definedName>
    <definedName name="numteach_assign_ap_g10_f">'[1]IV. Table 11.B to 11.D'!$AW$30</definedName>
    <definedName name="numteach_assign_ap_g10_m">'[1]IV. Table 11.B to 11.D'!$AT$30</definedName>
    <definedName name="numteach_assign_ap_g4_f">'[1]IV. Table 11.B to 11.D'!$AE$14</definedName>
    <definedName name="numteach_assign_ap_g4_m">'[1]IV. Table 11.B to 11.D'!$AB$14</definedName>
    <definedName name="numteach_assign_ap_g5_f">'[1]IV. Table 11.B to 11.D'!$AN$14</definedName>
    <definedName name="numteach_assign_ap_g5_m">'[1]IV. Table 11.B to 11.D'!$AK$14</definedName>
    <definedName name="numteach_assign_ap_g6_f">'[1]IV. Table 11.B to 11.D'!$AW$14</definedName>
    <definedName name="numteach_assign_ap_g6_m">'[1]IV. Table 11.B to 11.D'!$AT$14</definedName>
    <definedName name="numteach_assign_ap_g7_f">'[1]IV. Table 11.B to 11.D'!$V$30</definedName>
    <definedName name="numteach_assign_ap_g7_m">'[1]IV. Table 11.B to 11.D'!$S$30</definedName>
    <definedName name="numteach_assign_ap_g8_f">'[1]IV. Table 11.B to 11.D'!$AE$30</definedName>
    <definedName name="numteach_assign_ap_g8_m">'[1]IV. Table 11.B to 11.D'!$AB$30</definedName>
    <definedName name="numteach_assign_ap_g9_f">'[1]IV. Table 11.B to 11.D'!$AN$30</definedName>
    <definedName name="numteach_assign_ap_g9_m">'[1]IV. Table 11.B to 11.D'!$AK$30</definedName>
    <definedName name="numteach_assign_eng_g10_f">'[1]IV. Table 11.B to 11.D'!$AW$26</definedName>
    <definedName name="numteach_assign_eng_g10_m">'[1]IV. Table 11.B to 11.D'!$AT$26</definedName>
    <definedName name="numteach_assign_eng_g4_f">'[1]IV. Table 11.B to 11.D'!$AE$10</definedName>
    <definedName name="numteach_assign_eng_g4_m">'[1]IV. Table 11.B to 11.D'!$AB$10</definedName>
    <definedName name="numteach_assign_eng_g5_f">'[1]IV. Table 11.B to 11.D'!$AN$10</definedName>
    <definedName name="numteach_assign_eng_g5_m">'[1]IV. Table 11.B to 11.D'!$AK$10</definedName>
    <definedName name="numteach_assign_eng_g6_f">'[1]IV. Table 11.B to 11.D'!$AW$10</definedName>
    <definedName name="numteach_assign_eng_g6_m">'[1]IV. Table 11.B to 11.D'!$AT$10</definedName>
    <definedName name="numteach_assign_eng_g7_f">'[1]IV. Table 11.B to 11.D'!$V$26</definedName>
    <definedName name="numteach_assign_eng_g7_m">'[1]IV. Table 11.B to 11.D'!$S$26</definedName>
    <definedName name="numteach_assign_eng_g8_f">'[1]IV. Table 11.B to 11.D'!$AE$26</definedName>
    <definedName name="numteach_assign_eng_g8_m">'[1]IV. Table 11.B to 11.D'!$AB$26</definedName>
    <definedName name="numteach_assign_eng_g9_f">'[1]IV. Table 11.B to 11.D'!$AN$26</definedName>
    <definedName name="numteach_assign_eng_g9_m">'[1]IV. Table 11.B to 11.D'!$AK$26</definedName>
    <definedName name="numteach_assign_epp_tle_g4_f">'[1]IV. Table 11.B to 11.D'!$AE$16</definedName>
    <definedName name="numteach_assign_epp_tle_g4_m">'[1]IV. Table 11.B to 11.D'!$AB$16</definedName>
    <definedName name="numteach_assign_epp_tle_g5_f">'[1]IV. Table 11.B to 11.D'!$AN$16</definedName>
    <definedName name="numteach_assign_epp_tle_g5_m">'[1]IV. Table 11.B to 11.D'!$AK$16</definedName>
    <definedName name="numteach_assign_epp_tle_g6_f">'[1]IV. Table 11.B to 11.D'!$AW$16</definedName>
    <definedName name="numteach_assign_epp_tle_g6_m">'[1]IV. Table 11.B to 11.D'!$AT$16</definedName>
    <definedName name="numteach_assign_esp_g10_f">'[1]IV. Table 11.B to 11.D'!$AW$31</definedName>
    <definedName name="numteach_assign_esp_g10_m">'[1]IV. Table 11.B to 11.D'!$AT$31</definedName>
    <definedName name="numteach_assign_esp_g4_f">'[1]IV. Table 11.B to 11.D'!$AE$15</definedName>
    <definedName name="numteach_assign_esp_g4_m">'[1]IV. Table 11.B to 11.D'!$AB$15</definedName>
    <definedName name="numteach_assign_esp_g5_f">'[1]IV. Table 11.B to 11.D'!$AN$15</definedName>
    <definedName name="numteach_assign_esp_g5_m">'[1]IV. Table 11.B to 11.D'!$AK$15</definedName>
    <definedName name="numteach_assign_esp_g6_f">'[1]IV. Table 11.B to 11.D'!$AW$15</definedName>
    <definedName name="numteach_assign_esp_g6_m">'[1]IV. Table 11.B to 11.D'!$AT$15</definedName>
    <definedName name="numteach_assign_esp_g7_f">'[1]IV. Table 11.B to 11.D'!$V$31</definedName>
    <definedName name="numteach_assign_esp_g7_m">'[1]IV. Table 11.B to 11.D'!$S$31</definedName>
    <definedName name="numteach_assign_esp_g8_f">'[1]IV. Table 11.B to 11.D'!$AE$31</definedName>
    <definedName name="numteach_assign_esp_g8_m">'[1]IV. Table 11.B to 11.D'!$AB$31</definedName>
    <definedName name="numteach_assign_esp_g9_f">'[1]IV. Table 11.B to 11.D'!$AN$31</definedName>
    <definedName name="numteach_assign_esp_g9_m">'[1]IV. Table 11.B to 11.D'!$AK$31</definedName>
    <definedName name="numteach_assign_fil_g10_f">'[1]IV. Table 11.B to 11.D'!$AW$28</definedName>
    <definedName name="numteach_assign_fil_g10_m">'[1]IV. Table 11.B to 11.D'!$AT$28</definedName>
    <definedName name="numteach_assign_fil_g4_f">'[1]IV. Table 11.B to 11.D'!$AE$12</definedName>
    <definedName name="numteach_assign_fil_g4_m">'[1]IV. Table 11.B to 11.D'!$AB$12</definedName>
    <definedName name="numteach_assign_fil_g5_f">'[1]IV. Table 11.B to 11.D'!$AN$12</definedName>
    <definedName name="numteach_assign_fil_g5_m">'[1]IV. Table 11.B to 11.D'!$AK$12</definedName>
    <definedName name="numteach_assign_fil_g6_f">'[1]IV. Table 11.B to 11.D'!$AW$12</definedName>
    <definedName name="numteach_assign_fil_g6_m">'[1]IV. Table 11.B to 11.D'!$AT$12</definedName>
    <definedName name="numteach_assign_fil_g7_f">'[1]IV. Table 11.B to 11.D'!$V$28</definedName>
    <definedName name="numteach_assign_fil_g7_m">'[1]IV. Table 11.B to 11.D'!$S$28</definedName>
    <definedName name="numteach_assign_fil_g8_f">'[1]IV. Table 11.B to 11.D'!$AE$28</definedName>
    <definedName name="numteach_assign_fil_g8_m">'[1]IV. Table 11.B to 11.D'!$AB$28</definedName>
    <definedName name="numteach_assign_fil_g9_f">'[1]IV. Table 11.B to 11.D'!$AN$28</definedName>
    <definedName name="numteach_assign_fil_g9_m">'[1]IV. Table 11.B to 11.D'!$AK$28</definedName>
    <definedName name="numteach_assign_g10_f_total">'[1]IV. Table 11.B to 11.D'!$AW$34</definedName>
    <definedName name="numteach_assign_g10_m_total">'[1]IV. Table 11.B to 11.D'!$AT$34</definedName>
    <definedName name="numteach_assign_g12_f_total">'[1]IV. Table 11.B to 11.D'!$AW$66</definedName>
    <definedName name="numteach_assign_g12_m_total">'[1]IV. Table 11.B to 11.D'!$AT$66</definedName>
    <definedName name="numteach_assign_g4_f_total">'[1]IV. Table 11.B to 11.D'!$AE$18</definedName>
    <definedName name="numteach_assign_g4_m_total">'[1]IV. Table 11.B to 11.D'!$AB$18</definedName>
    <definedName name="numteach_assign_g5_f_total">'[1]IV. Table 11.B to 11.D'!$AN$18</definedName>
    <definedName name="numteach_assign_g5_m_total">'[1]IV. Table 11.B to 11.D'!$AK$18</definedName>
    <definedName name="numteach_assign_g6_f_total">'[1]IV. Table 11.B to 11.D'!$AW$18</definedName>
    <definedName name="numteach_assign_g6_m_total">'[1]IV. Table 11.B to 11.D'!$AT$18</definedName>
    <definedName name="numteach_assign_g7_f_total">'[1]IV. Table 11.B to 11.D'!$V$34</definedName>
    <definedName name="numteach_assign_g7_m_total">'[1]IV. Table 11.B to 11.D'!$S$34</definedName>
    <definedName name="numteach_assign_g8_f_total">'[1]IV. Table 11.B to 11.D'!$AE$34</definedName>
    <definedName name="numteach_assign_g8_m_total">'[1]IV. Table 11.B to 11.D'!$AB$34</definedName>
    <definedName name="numteach_assign_g9_f_total">'[1]IV. Table 11.B to 11.D'!$AN$34</definedName>
    <definedName name="numteach_assign_g9_m_total">'[1]IV. Table 11.B to 11.D'!$AK$34</definedName>
    <definedName name="numteach_assign_mapeh_g10_f">'[1]IV. Table 11.B to 11.D'!$AW$33</definedName>
    <definedName name="numteach_assign_mapeh_g10_m">'[1]IV. Table 11.B to 11.D'!$AT$33</definedName>
    <definedName name="numteach_assign_mapeh_g4_f">'[1]IV. Table 11.B to 11.D'!$AE$17</definedName>
    <definedName name="numteach_assign_mapeh_g4_m">'[1]IV. Table 11.B to 11.D'!$AB$17</definedName>
    <definedName name="numteach_assign_mapeh_g5_f">'[1]IV. Table 11.B to 11.D'!$AN$17</definedName>
    <definedName name="numteach_assign_mapeh_g5_m">'[1]IV. Table 11.B to 11.D'!$AK$17</definedName>
    <definedName name="numteach_assign_mapeh_g6_f">'[1]IV. Table 11.B to 11.D'!$AW$17</definedName>
    <definedName name="numteach_assign_mapeh_g6_m">'[1]IV. Table 11.B to 11.D'!$AT$17</definedName>
    <definedName name="numteach_assign_mapeh_g7_f">'[1]IV. Table 11.B to 11.D'!$V$33</definedName>
    <definedName name="numteach_assign_mapeh_g7_m">'[1]IV. Table 11.B to 11.D'!$S$33</definedName>
    <definedName name="numteach_assign_mapeh_g8_f">'[1]IV. Table 11.B to 11.D'!$AE$33</definedName>
    <definedName name="numteach_assign_mapeh_g8_m">'[1]IV. Table 11.B to 11.D'!$AB$33</definedName>
    <definedName name="numteach_assign_mapeh_g9_f">'[1]IV. Table 11.B to 11.D'!$AN$33</definedName>
    <definedName name="numteach_assign_mapeh_g9_m">'[1]IV. Table 11.B to 11.D'!$AK$33</definedName>
    <definedName name="numteach_assign_math_g10_f">'[1]IV. Table 11.B to 11.D'!$AW$27</definedName>
    <definedName name="numteach_assign_math_g10_m">'[1]IV. Table 11.B to 11.D'!$AT$27</definedName>
    <definedName name="numteach_assign_math_g4_f">'[1]IV. Table 11.B to 11.D'!$AE$11</definedName>
    <definedName name="numteach_assign_math_g4_m">'[1]IV. Table 11.B to 11.D'!$AB$11</definedName>
    <definedName name="numteach_assign_math_g5_f">'[1]IV. Table 11.B to 11.D'!$AN$11</definedName>
    <definedName name="numteach_assign_math_g5_m">'[1]IV. Table 11.B to 11.D'!$AK$11</definedName>
    <definedName name="numteach_assign_math_g6_f">'[1]IV. Table 11.B to 11.D'!$AW$11</definedName>
    <definedName name="numteach_assign_math_g6_m">'[1]IV. Table 11.B to 11.D'!$AT$11</definedName>
    <definedName name="numteach_assign_math_g7_f">'[1]IV. Table 11.B to 11.D'!$V$27</definedName>
    <definedName name="numteach_assign_math_g7_m">'[1]IV. Table 11.B to 11.D'!$S$27</definedName>
    <definedName name="numteach_assign_math_g8_f">'[1]IV. Table 11.B to 11.D'!$AE$27</definedName>
    <definedName name="numteach_assign_math_g8_m">'[1]IV. Table 11.B to 11.D'!$AB$27</definedName>
    <definedName name="numteach_assign_math_g9_f">'[1]IV. Table 11.B to 11.D'!$AN$27</definedName>
    <definedName name="numteach_assign_math_g9_m">'[1]IV. Table 11.B to 11.D'!$AK$27</definedName>
    <definedName name="numteach_assign_sci_g10_f">'[1]IV. Table 11.B to 11.D'!$AW$29</definedName>
    <definedName name="numteach_assign_sci_g10_m">'[1]IV. Table 11.B to 11.D'!$AT$29</definedName>
    <definedName name="numteach_assign_sci_g4_f">'[1]IV. Table 11.B to 11.D'!$AE$13</definedName>
    <definedName name="numteach_assign_sci_g4_m">'[1]IV. Table 11.B to 11.D'!$AB$13</definedName>
    <definedName name="numteach_assign_sci_g5_f">'[1]IV. Table 11.B to 11.D'!$AN$13</definedName>
    <definedName name="numteach_assign_sci_g5_m">'[1]IV. Table 11.B to 11.D'!$AK$13</definedName>
    <definedName name="numteach_assign_sci_g6_f">'[1]IV. Table 11.B to 11.D'!$AW$13</definedName>
    <definedName name="numteach_assign_sci_g6_m">'[1]IV. Table 11.B to 11.D'!$AT$13</definedName>
    <definedName name="numteach_assign_sci_g7_f">'[1]IV. Table 11.B to 11.D'!$V$29</definedName>
    <definedName name="numteach_assign_sci_g7_m">'[1]IV. Table 11.B to 11.D'!$S$29</definedName>
    <definedName name="numteach_assign_sci_g8_f">'[1]IV. Table 11.B to 11.D'!$AE$29</definedName>
    <definedName name="numteach_assign_sci_g8_m">'[1]IV. Table 11.B to 11.D'!$AB$29</definedName>
    <definedName name="numteach_assign_sci_g9_f">'[1]IV. Table 11.B to 11.D'!$AN$29</definedName>
    <definedName name="numteach_assign_sci_g9_m">'[1]IV. Table 11.B to 11.D'!$AK$29</definedName>
    <definedName name="numteach_assign_tle_g10_f">'[1]IV. Table 11.B to 11.D'!$AW$32</definedName>
    <definedName name="numteach_assign_tle_g10_m">'[1]IV. Table 11.B to 11.D'!$AT$32</definedName>
    <definedName name="numteach_assign_tle_g7_f">'[1]IV. Table 11.B to 11.D'!$V$32</definedName>
    <definedName name="numteach_assign_tle_g7_m">'[1]IV. Table 11.B to 11.D'!$S$32</definedName>
    <definedName name="numteach_assign_tle_g8_f">'[1]IV. Table 11.B to 11.D'!$AE$32</definedName>
    <definedName name="numteach_assign_tle_g8_m">'[1]IV. Table 11.B to 11.D'!$AB$32</definedName>
    <definedName name="numteach_assign_tle_g9_f">'[1]IV. Table 11.B to 11.D'!$AN$32</definedName>
    <definedName name="numteach_assign_tle_g9_m">'[1]IV. Table 11.B to 11.D'!$AK$32</definedName>
    <definedName name="numteach_g1_f">'[1]IV. Tables 10 &amp; 11.A'!$Z$10</definedName>
    <definedName name="numteach_g1_m">'[1]IV. Tables 10 &amp; 11.A'!$T$10</definedName>
    <definedName name="numteach_g2_f">'[1]IV. Tables 10 &amp; 11.A'!$Z$11</definedName>
    <definedName name="numteach_g2_m">'[1]IV. Tables 10 &amp; 11.A'!$T$11</definedName>
    <definedName name="numteach_g3_f">'[1]IV. Tables 10 &amp; 11.A'!$Z$12</definedName>
    <definedName name="numteach_g3_m">'[1]IV. Tables 10 &amp; 11.A'!$T$12</definedName>
    <definedName name="numteach_g4_f">'[1]IV. Tables 10 &amp; 11.A'!$Z$13</definedName>
    <definedName name="numteach_g4_m">'[1]IV. Tables 10 &amp; 11.A'!$T$13</definedName>
    <definedName name="numteach_g5_f">'[1]IV. Tables 10 &amp; 11.A'!$Z$14</definedName>
    <definedName name="numteach_g5_m">'[1]IV. Tables 10 &amp; 11.A'!$T$14</definedName>
    <definedName name="numteach_g6_f">'[1]IV. Tables 10 &amp; 11.A'!$Z$15</definedName>
    <definedName name="numteach_g6_m">'[1]IV. Tables 10 &amp; 11.A'!$T$15</definedName>
    <definedName name="numteach_kinder_f">'[1]IV. Tables 10 &amp; 11.A'!$Z$9</definedName>
    <definedName name="numteach_kinder_m">'[1]IV. Tables 10 &amp; 11.A'!$T$9</definedName>
    <definedName name="numteach_morethance_g1_f">'[1]IV. Tables 10 &amp; 11.A'!$Z$53</definedName>
    <definedName name="numteach_morethance_g1_m">'[1]IV. Tables 10 &amp; 11.A'!$T$53</definedName>
    <definedName name="numteach_morethance_g2_f">'[1]IV. Tables 10 &amp; 11.A'!$Z$54</definedName>
    <definedName name="numteach_morethance_g2_m">'[1]IV. Tables 10 &amp; 11.A'!$T$54</definedName>
    <definedName name="numteach_morethance_g3_f">'[1]IV. Tables 10 &amp; 11.A'!$Z$55</definedName>
    <definedName name="numteach_morethance_g3_m">'[1]IV. Tables 10 &amp; 11.A'!$T$55</definedName>
    <definedName name="numteach_morethance_kinder_f">'[1]IV. Tables 10 &amp; 11.A'!$Z$52</definedName>
    <definedName name="numteach_morethance_kinder_m">'[1]IV. Tables 10 &amp; 11.A'!$T$52</definedName>
    <definedName name="numteach_morethance_sped_f">'[1]IV. Tables 10 &amp; 11.A'!$Z$56</definedName>
    <definedName name="numteach_morethance_sped_m">'[1]IV. Tables 10 &amp; 11.A'!$T$56</definedName>
    <definedName name="numteach_scieducmajor_bio_f">'[1]IV. Tables 12 &amp; 13'!$AI$10</definedName>
    <definedName name="numteach_scieducmajor_bio_m">'[1]IV. Tables 12 &amp; 13'!$AD$10</definedName>
    <definedName name="numteach_scieducmajor_chem_f">'[1]IV. Tables 12 &amp; 13'!$AI$11</definedName>
    <definedName name="numteach_scieducmajor_chem_m">'[1]IV. Tables 12 &amp; 13'!$AD$11</definedName>
    <definedName name="numteach_scieducmajor_gensci_f">'[1]IV. Tables 12 &amp; 13'!$AI$9</definedName>
    <definedName name="numteach_scieducmajor_gensci_m">'[1]IV. Tables 12 &amp; 13'!$AD$9</definedName>
    <definedName name="numteach_scieducmajor_physics_f">'[1]IV. Tables 12 &amp; 13'!$AI$12</definedName>
    <definedName name="numteach_scieducmajor_physics_m">'[1]IV. Tables 12 &amp; 13'!$AD$12</definedName>
    <definedName name="numteach_scieducmajor_stem_spec_sci_f">'[1]IV. Tables 12 &amp; 13'!$AI$13</definedName>
    <definedName name="numteach_scieducmajor_stem_spec_sci_m">'[1]IV. Tables 12 &amp; 13'!$AD$13</definedName>
    <definedName name="numteach_sped_f">'[1]IV. Tables 10 &amp; 11.A'!$Z$16</definedName>
    <definedName name="numteach_sped_m">'[1]IV. Tables 10 &amp; 11.A'!$T$16</definedName>
    <definedName name="numteach_sped_mt1_adhd">'[1]IV. Tables 22 &amp; 23'!$AE$19</definedName>
    <definedName name="numteach_sped_mt1_asd_diff_pas">'[1]IV. Tables 22 &amp; 23'!$S$19</definedName>
    <definedName name="numteach_sped_mt1_cd_diff_com">'[1]IV. Tables 22 &amp; 23'!$AB$19</definedName>
    <definedName name="numteach_sped_mt1_ebd_diff_dib">'[1]IV. Tables 22 &amp; 23'!$V$19</definedName>
    <definedName name="numteach_sped_mt1_gifted">'[1]IV. Tables 22 &amp; 23'!$AN$19</definedName>
    <definedName name="numteach_sped_mt1_hi_diff_hearing">'[1]IV. Tables 22 &amp; 23'!$J$19</definedName>
    <definedName name="numteach_sped_mt1_id_diff_rcpau">'[1]IV. Tables 22 &amp; 23'!$P$19</definedName>
    <definedName name="numteach_sped_mt1_ld_diff_ak">'[1]IV. Tables 22 &amp; 23'!$M$19</definedName>
    <definedName name="numteach_sped_mt1_md">'[1]IV. Tables 22 &amp; 23'!$AH$19</definedName>
    <definedName name="numteach_sped_mt1_md_combi_2mor_disabilities">'[1]IV. Tables 22 &amp; 23'!$AK$19</definedName>
    <definedName name="numteach_sped_mt1_oh_diff_mob">'[1]IV. Tables 22 &amp; 23'!$Y$19</definedName>
    <definedName name="numteach_sped_mt1_vi_diff_seeing">'[1]IV. Tables 22 &amp; 23'!$G$19</definedName>
    <definedName name="numteach_sped_mt1_yrs_teach_0to3">'[1]IV. Tables 22 &amp; 23'!$AQ$19</definedName>
    <definedName name="numteach_sped_mt1_yrs_teach_10to12">'[1]IV. Tables 22 &amp; 23'!$AW$19</definedName>
    <definedName name="numteach_sped_mt1_yrs_teach_13nabove">'[1]IV. Tables 22 &amp; 23'!$AY$19</definedName>
    <definedName name="numteach_sped_mt1_yrs_teach_4to6">'[1]IV. Tables 22 &amp; 23'!$AS$19</definedName>
    <definedName name="numteach_sped_mt1_yrs_teach_7to9">'[1]IV. Tables 22 &amp; 23'!$AU$19</definedName>
    <definedName name="numteach_sped_mt2_adhd">'[1]IV. Tables 22 &amp; 23'!$AE$18</definedName>
    <definedName name="numteach_sped_mt2_asd_diff_pas">'[1]IV. Tables 22 &amp; 23'!$S$18</definedName>
    <definedName name="numteach_sped_mt2_cd_diff_com">'[1]IV. Tables 22 &amp; 23'!$AB$18</definedName>
    <definedName name="numteach_sped_mt2_ebd_diff_dib">'[1]IV. Tables 22 &amp; 23'!$V$18</definedName>
    <definedName name="numteach_sped_mt2_gifted">'[1]IV. Tables 22 &amp; 23'!$AN$18</definedName>
    <definedName name="numteach_sped_mt2_hi_diff_hearing">'[1]IV. Tables 22 &amp; 23'!$J$18</definedName>
    <definedName name="numteach_sped_mt2_id_diff_rcpau">'[1]IV. Tables 22 &amp; 23'!$P$18</definedName>
    <definedName name="numteach_sped_mt2_ld_diff_ak">'[1]IV. Tables 22 &amp; 23'!$M$18</definedName>
    <definedName name="numteach_sped_mt2_md">'[1]IV. Tables 22 &amp; 23'!$AH$18</definedName>
    <definedName name="numteach_sped_mt2_md_combi_2mor_disabilities">'[1]IV. Tables 22 &amp; 23'!$AK$18</definedName>
    <definedName name="numteach_sped_mt2_oh_diff_mob">'[1]IV. Tables 22 &amp; 23'!$Y$18</definedName>
    <definedName name="numteach_sped_mt2_vi_diff_seeing">'[1]IV. Tables 22 &amp; 23'!$G$18</definedName>
    <definedName name="numteach_sped_mt2_yrs_teach_0to3">'[1]IV. Tables 22 &amp; 23'!$AQ$18</definedName>
    <definedName name="numteach_sped_mt2_yrs_teach_10to12">'[1]IV. Tables 22 &amp; 23'!$AW$18</definedName>
    <definedName name="numteach_sped_mt2_yrs_teach_13nabove">'[1]IV. Tables 22 &amp; 23'!$AY$18</definedName>
    <definedName name="numteach_sped_mt2_yrs_teach_4to6">'[1]IV. Tables 22 &amp; 23'!$AS$18</definedName>
    <definedName name="numteach_sped_mt2_yrs_teach_7to9">'[1]IV. Tables 22 &amp; 23'!$AU$18</definedName>
    <definedName name="numteach_sped_mt3_adhd">'[1]IV. Tables 22 &amp; 23'!$AE$17</definedName>
    <definedName name="numteach_sped_mt3_asd_diff_pas">'[1]IV. Tables 22 &amp; 23'!$S$17</definedName>
    <definedName name="numteach_sped_mt3_cd_diff_com">'[1]IV. Tables 22 &amp; 23'!$AB$17</definedName>
    <definedName name="numteach_sped_mt3_ebd_diff_dib">'[1]IV. Tables 22 &amp; 23'!$V$17</definedName>
    <definedName name="numteach_sped_mt3_gifted">'[1]IV. Tables 22 &amp; 23'!$AN$17</definedName>
    <definedName name="numteach_sped_mt3_hi_diff_hearing">'[1]IV. Tables 22 &amp; 23'!$J$17</definedName>
    <definedName name="numteach_sped_mt3_id_diff_rcpau">'[1]IV. Tables 22 &amp; 23'!$P$17</definedName>
    <definedName name="numteach_sped_mt3_ld_diff_ak">'[1]IV. Tables 22 &amp; 23'!$M$17</definedName>
    <definedName name="numteach_sped_mt3_md">'[1]IV. Tables 22 &amp; 23'!$AH$17</definedName>
    <definedName name="numteach_sped_mt3_md_combi_2mor_disabilities">'[1]IV. Tables 22 &amp; 23'!$AK$17</definedName>
    <definedName name="numteach_sped_mt3_oh_diff_mob">'[1]IV. Tables 22 &amp; 23'!$Y$17</definedName>
    <definedName name="numteach_sped_mt3_vi_diff_seeing">'[1]IV. Tables 22 &amp; 23'!$G$17</definedName>
    <definedName name="numteach_sped_mt3_yrs_teach_0to3">'[1]IV. Tables 22 &amp; 23'!$AQ$17</definedName>
    <definedName name="numteach_sped_mt3_yrs_teach_10to12">'[1]IV. Tables 22 &amp; 23'!$AW$17</definedName>
    <definedName name="numteach_sped_mt3_yrs_teach_13nabove">'[1]IV. Tables 22 &amp; 23'!$AY$17</definedName>
    <definedName name="numteach_sped_mt3_yrs_teach_4to6">'[1]IV. Tables 22 &amp; 23'!$AS$17</definedName>
    <definedName name="numteach_sped_mt3_yrs_teach_7to9">'[1]IV. Tables 22 &amp; 23'!$AU$17</definedName>
    <definedName name="numteach_sped_mt4_adhd">'[1]IV. Tables 22 &amp; 23'!$AE$16</definedName>
    <definedName name="numteach_sped_mt4_asd_diff_pas">'[1]IV. Tables 22 &amp; 23'!$S$16</definedName>
    <definedName name="numteach_sped_mt4_cd_diff_com">'[1]IV. Tables 22 &amp; 23'!$AB$16</definedName>
    <definedName name="numteach_sped_mt4_ebd_diff_dib">'[1]IV. Tables 22 &amp; 23'!$V$16</definedName>
    <definedName name="numteach_sped_mt4_gifted">'[1]IV. Tables 22 &amp; 23'!$AN$16</definedName>
    <definedName name="numteach_sped_mt4_hi_diff_hearing">'[1]IV. Tables 22 &amp; 23'!$J$16</definedName>
    <definedName name="numteach_sped_mt4_id_diff_rcpau">'[1]IV. Tables 22 &amp; 23'!$P$16</definedName>
    <definedName name="numteach_sped_mt4_ld_diff_ak">'[1]IV. Tables 22 &amp; 23'!$M$16</definedName>
    <definedName name="numteach_sped_mt4_md">'[1]IV. Tables 22 &amp; 23'!$AH$16</definedName>
    <definedName name="numteach_sped_mt4_md_combi_2mor_disabilities">'[1]IV. Tables 22 &amp; 23'!$AK$16</definedName>
    <definedName name="numteach_sped_mt4_oh_diff_mob">'[1]IV. Tables 22 &amp; 23'!$Y$16</definedName>
    <definedName name="numteach_sped_mt4_vi_diff_seeing">'[1]IV. Tables 22 &amp; 23'!$G$16</definedName>
    <definedName name="numteach_sped_mt4_yrs_teach_0to3">'[1]IV. Tables 22 &amp; 23'!$AQ$16</definedName>
    <definedName name="numteach_sped_mt4_yrs_teach_10to12">'[1]IV. Tables 22 &amp; 23'!$AW$16</definedName>
    <definedName name="numteach_sped_mt4_yrs_teach_13nabove">'[1]IV. Tables 22 &amp; 23'!$AY$16</definedName>
    <definedName name="numteach_sped_mt4_yrs_teach_4to6">'[1]IV. Tables 22 &amp; 23'!$AS$16</definedName>
    <definedName name="numteach_sped_mt4_yrs_teach_7to9">'[1]IV. Tables 22 &amp; 23'!$AU$16</definedName>
    <definedName name="numteach_sped_mt5_adhd">'[1]IV. Tables 22 &amp; 23'!$AE$15</definedName>
    <definedName name="numteach_sped_mt5_asd_diff_pas">'[1]IV. Tables 22 &amp; 23'!$S$15</definedName>
    <definedName name="numteach_sped_mt5_cd_diff_com">'[1]IV. Tables 22 &amp; 23'!$AB$15</definedName>
    <definedName name="numteach_sped_mt5_ebd_diff_dib">'[1]IV. Tables 22 &amp; 23'!$V$15</definedName>
    <definedName name="numteach_sped_mt5_gifted">'[1]IV. Tables 22 &amp; 23'!$AN$15</definedName>
    <definedName name="numteach_sped_mt5_hi_diff_hearing">'[1]IV. Tables 22 &amp; 23'!$J$15</definedName>
    <definedName name="numteach_sped_mt5_id_diff_rcpau">'[1]IV. Tables 22 &amp; 23'!$P$15</definedName>
    <definedName name="numteach_sped_mt5_ld_diff_ak">'[1]IV. Tables 22 &amp; 23'!$M$15</definedName>
    <definedName name="numteach_sped_mt5_md">'[1]IV. Tables 22 &amp; 23'!$AH$15</definedName>
    <definedName name="numteach_sped_mt5_md_combi_2mor_disabilities">'[1]IV. Tables 22 &amp; 23'!$AK$15</definedName>
    <definedName name="numteach_sped_mt5_oh_diff_mob">'[1]IV. Tables 22 &amp; 23'!$Y$15</definedName>
    <definedName name="numteach_sped_mt5_vi_diff_seeing">'[1]IV. Tables 22 &amp; 23'!$G$15</definedName>
    <definedName name="numteach_sped_mt5_yrs_teach_0to3">'[1]IV. Tables 22 &amp; 23'!$AQ$15</definedName>
    <definedName name="numteach_sped_mt5_yrs_teach_10to12">'[1]IV. Tables 22 &amp; 23'!$AW$15</definedName>
    <definedName name="numteach_sped_mt5_yrs_teach_13nabove">'[1]IV. Tables 22 &amp; 23'!$AY$15</definedName>
    <definedName name="numteach_sped_mt5_yrs_teach_4to6">'[1]IV. Tables 22 &amp; 23'!$AS$15</definedName>
    <definedName name="numteach_sped_mt5_yrs_teach_7to9">'[1]IV. Tables 22 &amp; 23'!$AU$15</definedName>
    <definedName name="numteach_sped_t1_adhd">'[1]IV. Tables 22 &amp; 23'!$AE$26</definedName>
    <definedName name="numteach_sped_t1_asd_diff_pas">'[1]IV. Tables 22 &amp; 23'!$S$26</definedName>
    <definedName name="numteach_sped_t1_cd_diff_com">'[1]IV. Tables 22 &amp; 23'!$AB$26</definedName>
    <definedName name="numteach_sped_t1_ebd_diff_dib">'[1]IV. Tables 22 &amp; 23'!$V$26</definedName>
    <definedName name="numteach_sped_t1_gifted">'[1]IV. Tables 22 &amp; 23'!$AN$26</definedName>
    <definedName name="numteach_sped_t1_hi_diff_hearing">'[1]IV. Tables 22 &amp; 23'!$J$26</definedName>
    <definedName name="numteach_sped_t1_id_diff_rcpau">'[1]IV. Tables 22 &amp; 23'!$P$26</definedName>
    <definedName name="numteach_sped_t1_ld_diff_ak">'[1]IV. Tables 22 &amp; 23'!$M$26</definedName>
    <definedName name="numteach_sped_t1_md">'[1]IV. Tables 22 &amp; 23'!$AH$26</definedName>
    <definedName name="numteach_sped_t1_md_combi_2mor_disabilities">'[1]IV. Tables 22 &amp; 23'!$AK$26</definedName>
    <definedName name="numteach_sped_t1_oh_diff_mob">'[1]IV. Tables 22 &amp; 23'!$Y$26</definedName>
    <definedName name="numteach_sped_t1_vi_diff_seeing">'[1]IV. Tables 22 &amp; 23'!$G$26</definedName>
    <definedName name="numteach_sped_t1_yrs_teach_0to3">'[1]IV. Tables 22 &amp; 23'!$AQ$26</definedName>
    <definedName name="numteach_sped_t1_yrs_teach_10to12">'[1]IV. Tables 22 &amp; 23'!$AW$26</definedName>
    <definedName name="numteach_sped_t1_yrs_teach_13nabove">'[1]IV. Tables 22 &amp; 23'!$AY$26</definedName>
    <definedName name="numteach_sped_t1_yrs_teach_4to6">'[1]IV. Tables 22 &amp; 23'!$AS$26</definedName>
    <definedName name="numteach_sped_t1_yrs_teach_7to9">'[1]IV. Tables 22 &amp; 23'!$AU$26</definedName>
    <definedName name="numteach_sped_t2_adhd">'[1]IV. Tables 22 &amp; 23'!$AE$25</definedName>
    <definedName name="numteach_sped_t2_asd_diff_pas">'[1]IV. Tables 22 &amp; 23'!$S$25</definedName>
    <definedName name="numteach_sped_t2_cd_diff_com">'[1]IV. Tables 22 &amp; 23'!$AB$25</definedName>
    <definedName name="numteach_sped_t2_ebd_diff_dib">'[1]IV. Tables 22 &amp; 23'!$V$25</definedName>
    <definedName name="numteach_sped_t2_gifted">'[1]IV. Tables 22 &amp; 23'!$AN$25</definedName>
    <definedName name="numteach_sped_t2_hi_diff_hearing">'[1]IV. Tables 22 &amp; 23'!$J$25</definedName>
    <definedName name="numteach_sped_t2_id_diff_rcpau">'[1]IV. Tables 22 &amp; 23'!$P$25</definedName>
    <definedName name="numteach_sped_t2_ld_diff_ak">'[1]IV. Tables 22 &amp; 23'!$M$25</definedName>
    <definedName name="numteach_sped_t2_md">'[1]IV. Tables 22 &amp; 23'!$AH$25</definedName>
    <definedName name="numteach_sped_t2_md_combi_2mor_disabilities">'[1]IV. Tables 22 &amp; 23'!$AK$25</definedName>
    <definedName name="numteach_sped_t2_oh_diff_mob">'[1]IV. Tables 22 &amp; 23'!$Y$25</definedName>
    <definedName name="numteach_sped_t2_vi_diff_seeing">'[1]IV. Tables 22 &amp; 23'!$G$25</definedName>
    <definedName name="numteach_sped_t2_yrs_teach_0to3">'[1]IV. Tables 22 &amp; 23'!$AQ$25</definedName>
    <definedName name="numteach_sped_t2_yrs_teach_10to12">'[1]IV. Tables 22 &amp; 23'!$AW$25</definedName>
    <definedName name="numteach_sped_t2_yrs_teach_13nabove">'[1]IV. Tables 22 &amp; 23'!$AY$25</definedName>
    <definedName name="numteach_sped_t2_yrs_teach_4to6">'[1]IV. Tables 22 &amp; 23'!$AS$25</definedName>
    <definedName name="numteach_sped_t2_yrs_teach_7to9">'[1]IV. Tables 22 &amp; 23'!$AU$25</definedName>
    <definedName name="numteach_sped_t3_adhd">'[1]IV. Tables 22 &amp; 23'!$AE$24</definedName>
    <definedName name="numteach_sped_t3_asd_diff_pas">'[1]IV. Tables 22 &amp; 23'!$S$24</definedName>
    <definedName name="numteach_sped_t3_cd_diff_com">'[1]IV. Tables 22 &amp; 23'!$AB$24</definedName>
    <definedName name="numteach_sped_t3_ebd_diff_dib">'[1]IV. Tables 22 &amp; 23'!$V$24</definedName>
    <definedName name="numteach_sped_t3_gifted">'[1]IV. Tables 22 &amp; 23'!$AN$24</definedName>
    <definedName name="numteach_sped_t3_hi_diff_hearing">'[1]IV. Tables 22 &amp; 23'!$J$24</definedName>
    <definedName name="numteach_sped_t3_id_diff_rcpau">'[1]IV. Tables 22 &amp; 23'!$P$24</definedName>
    <definedName name="numteach_sped_t3_ld_diff_ak">'[1]IV. Tables 22 &amp; 23'!$M$24</definedName>
    <definedName name="numteach_sped_t3_md">'[1]IV. Tables 22 &amp; 23'!$AH$24</definedName>
    <definedName name="numteach_sped_t3_md_combi_2mor_disabilities">'[1]IV. Tables 22 &amp; 23'!$AK$24</definedName>
    <definedName name="numteach_sped_t3_oh_diff_mob">'[1]IV. Tables 22 &amp; 23'!$Y$24</definedName>
    <definedName name="numteach_sped_t3_vi_diff_seeing">'[1]IV. Tables 22 &amp; 23'!$G$24</definedName>
    <definedName name="numteach_sped_t3_yrs_teach_0to3">'[1]IV. Tables 22 &amp; 23'!$AQ$24</definedName>
    <definedName name="numteach_sped_t3_yrs_teach_10to12">'[1]IV. Tables 22 &amp; 23'!$AW$24</definedName>
    <definedName name="numteach_sped_t3_yrs_teach_13nabove">'[1]IV. Tables 22 &amp; 23'!$AY$24</definedName>
    <definedName name="numteach_sped_t3_yrs_teach_4to6">'[1]IV. Tables 22 &amp; 23'!$AS$24</definedName>
    <definedName name="numteach_sped_t3_yrs_teach_7to9">'[1]IV. Tables 22 &amp; 23'!$AU$24</definedName>
    <definedName name="numteach_sped_t4_adhd">'[1]IV. Tables 22 &amp; 23'!$AE$23</definedName>
    <definedName name="numteach_sped_t4_asd_diff_pas">'[1]IV. Tables 22 &amp; 23'!$S$23</definedName>
    <definedName name="numteach_sped_t4_cd_diff_com">'[1]IV. Tables 22 &amp; 23'!$AB$23</definedName>
    <definedName name="numteach_sped_t4_ebd_diff_dib">'[1]IV. Tables 22 &amp; 23'!$V$23</definedName>
    <definedName name="numteach_sped_t4_gifted">'[1]IV. Tables 22 &amp; 23'!$AN$23</definedName>
    <definedName name="numteach_sped_t4_hi_diff_hearing">'[1]IV. Tables 22 &amp; 23'!$J$23</definedName>
    <definedName name="numteach_sped_t4_id_diff_rcpau">'[1]IV. Tables 22 &amp; 23'!$P$23</definedName>
    <definedName name="numteach_sped_t4_ld_diff_ak">'[1]IV. Tables 22 &amp; 23'!$M$23</definedName>
    <definedName name="numteach_sped_t4_md">'[1]IV. Tables 22 &amp; 23'!$AH$23</definedName>
    <definedName name="numteach_sped_t4_md_combi_2mor_disabilities">'[1]IV. Tables 22 &amp; 23'!$AK$23</definedName>
    <definedName name="numteach_sped_t4_oh_diff_mob">'[1]IV. Tables 22 &amp; 23'!$Y$23</definedName>
    <definedName name="numteach_sped_t4_vi_diff_seeing">'[1]IV. Tables 22 &amp; 23'!$G$23</definedName>
    <definedName name="numteach_sped_t4_yrs_teach_0to3">'[1]IV. Tables 22 &amp; 23'!$AQ$23</definedName>
    <definedName name="numteach_sped_t4_yrs_teach_10to12">'[1]IV. Tables 22 &amp; 23'!$AW$23</definedName>
    <definedName name="numteach_sped_t4_yrs_teach_13nabove">'[1]IV. Tables 22 &amp; 23'!$AY$23</definedName>
    <definedName name="numteach_sped_t4_yrs_teach_4to6">'[1]IV. Tables 22 &amp; 23'!$AS$23</definedName>
    <definedName name="numteach_sped_t4_yrs_teach_7to9">'[1]IV. Tables 22 &amp; 23'!$AU$23</definedName>
    <definedName name="numteach_sped_t5_adhd">'[1]IV. Tables 22 &amp; 23'!$AE$22</definedName>
    <definedName name="numteach_sped_t5_asd_diff_pas">'[1]IV. Tables 22 &amp; 23'!$S$22</definedName>
    <definedName name="numteach_sped_t5_cd_diff_com">'[1]IV. Tables 22 &amp; 23'!$AB$22</definedName>
    <definedName name="numteach_sped_t5_ebd_diff_dib">'[1]IV. Tables 22 &amp; 23'!$V$22</definedName>
    <definedName name="numteach_sped_t5_gifted">'[1]IV. Tables 22 &amp; 23'!$AN$22</definedName>
    <definedName name="numteach_sped_t5_hi_diff_hearing">'[1]IV. Tables 22 &amp; 23'!$J$22</definedName>
    <definedName name="numteach_sped_t5_id_diff_rcpau">'[1]IV. Tables 22 &amp; 23'!$P$22</definedName>
    <definedName name="numteach_sped_t5_ld_diff_ak">'[1]IV. Tables 22 &amp; 23'!$M$22</definedName>
    <definedName name="numteach_sped_t5_md">'[1]IV. Tables 22 &amp; 23'!$AH$22</definedName>
    <definedName name="numteach_sped_t5_md_combi_2mor_disabilities">'[1]IV. Tables 22 &amp; 23'!$AK$22</definedName>
    <definedName name="numteach_sped_t5_oh_diff_mob">'[1]IV. Tables 22 &amp; 23'!$Y$22</definedName>
    <definedName name="numteach_sped_t5_vi_diff_seeing">'[1]IV. Tables 22 &amp; 23'!$G$22</definedName>
    <definedName name="numteach_sped_t5_yrs_teach_0to3">'[1]IV. Tables 22 &amp; 23'!$AQ$22</definedName>
    <definedName name="numteach_sped_t5_yrs_teach_10to12">'[1]IV. Tables 22 &amp; 23'!$AW$22</definedName>
    <definedName name="numteach_sped_t5_yrs_teach_13nabove">'[1]IV. Tables 22 &amp; 23'!$AY$22</definedName>
    <definedName name="numteach_sped_t5_yrs_teach_4to6">'[1]IV. Tables 22 &amp; 23'!$AS$22</definedName>
    <definedName name="numteach_sped_t5_yrs_teach_7to9">'[1]IV. Tables 22 &amp; 23'!$AU$22</definedName>
    <definedName name="numteach_sped_t6_adhd">'[1]IV. Tables 22 &amp; 23'!$AE$21</definedName>
    <definedName name="numteach_sped_t6_asd_diff_pas">'[1]IV. Tables 22 &amp; 23'!$S$21</definedName>
    <definedName name="numteach_sped_t6_cd_diff_com">'[1]IV. Tables 22 &amp; 23'!$AB$21</definedName>
    <definedName name="numteach_sped_t6_ebd_diff_dib">'[1]IV. Tables 22 &amp; 23'!$V$21</definedName>
    <definedName name="numteach_sped_t6_gifted">'[1]IV. Tables 22 &amp; 23'!$AN$21</definedName>
    <definedName name="numteach_sped_t6_hi_diff_hearing">'[1]IV. Tables 22 &amp; 23'!$J$21</definedName>
    <definedName name="numteach_sped_t6_id_diff_rcpau">'[1]IV. Tables 22 &amp; 23'!$P$21</definedName>
    <definedName name="numteach_sped_t6_ld_diff_ak">'[1]IV. Tables 22 &amp; 23'!$M$21</definedName>
    <definedName name="numteach_sped_t6_md">'[1]IV. Tables 22 &amp; 23'!$AH$21</definedName>
    <definedName name="numteach_sped_t6_md_combi_2mor_disabilities">'[1]IV. Tables 22 &amp; 23'!$AK$21</definedName>
    <definedName name="numteach_sped_t6_oh_diff_mob">'[1]IV. Tables 22 &amp; 23'!$Y$21</definedName>
    <definedName name="numteach_sped_t6_vi_diff_seeing">'[1]IV. Tables 22 &amp; 23'!$G$21</definedName>
    <definedName name="numteach_sped_t6_yrs_teach_0to3">'[1]IV. Tables 22 &amp; 23'!$AQ$21</definedName>
    <definedName name="numteach_sped_t6_yrs_teach_10to12">'[1]IV. Tables 22 &amp; 23'!$AW$21</definedName>
    <definedName name="numteach_sped_t6_yrs_teach_13nabove">'[1]IV. Tables 22 &amp; 23'!$AY$21</definedName>
    <definedName name="numteach_sped_t6_yrs_teach_4to6">'[1]IV. Tables 22 &amp; 23'!$AS$21</definedName>
    <definedName name="numteach_sped_t6_yrs_teach_7to9">'[1]IV. Tables 22 &amp; 23'!$AU$21</definedName>
    <definedName name="numteach_sped_t7_adhd">'[1]IV. Tables 22 &amp; 23'!$AE$20</definedName>
    <definedName name="numteach_sped_t7_asd_diff_pas">'[1]IV. Tables 22 &amp; 23'!$S$20</definedName>
    <definedName name="numteach_sped_t7_cd_diff_com">'[1]IV. Tables 22 &amp; 23'!$AB$20</definedName>
    <definedName name="numteach_sped_t7_ebd_diff_dib">'[1]IV. Tables 22 &amp; 23'!$V$20</definedName>
    <definedName name="numteach_sped_t7_gifted">'[1]IV. Tables 22 &amp; 23'!$AN$20</definedName>
    <definedName name="numteach_sped_t7_hi_diff_hearing">'[1]IV. Tables 22 &amp; 23'!$J$20</definedName>
    <definedName name="numteach_sped_t7_id_diff_rcpau">'[1]IV. Tables 22 &amp; 23'!$P$20</definedName>
    <definedName name="numteach_sped_t7_ld_diff_ak">'[1]IV. Tables 22 &amp; 23'!$M$20</definedName>
    <definedName name="numteach_sped_t7_md">'[1]IV. Tables 22 &amp; 23'!$AH$20</definedName>
    <definedName name="numteach_sped_t7_md_combi_2mor_disabilities">'[1]IV. Tables 22 &amp; 23'!$AK$20</definedName>
    <definedName name="numteach_sped_t7_oh_diff_mob">'[1]IV. Tables 22 &amp; 23'!$Y$20</definedName>
    <definedName name="numteach_sped_t7_vi_diff_seeing">'[1]IV. Tables 22 &amp; 23'!$G$20</definedName>
    <definedName name="numteach_sped_t7_yrs_teach_0to3">'[1]IV. Tables 22 &amp; 23'!$AQ$20</definedName>
    <definedName name="numteach_sped_t7_yrs_teach_10to12">'[1]IV. Tables 22 &amp; 23'!$AW$20</definedName>
    <definedName name="numteach_sped_t7_yrs_teach_13nabove">'[1]IV. Tables 22 &amp; 23'!$AY$20</definedName>
    <definedName name="numteach_sped_t7_yrs_teach_4to6">'[1]IV. Tables 22 &amp; 23'!$AS$20</definedName>
    <definedName name="numteach_sped_t7_yrs_teach_7to9">'[1]IV. Tables 22 &amp; 23'!$AU$20</definedName>
    <definedName name="okd_lhas_arhc">'IX. Box 1'!$U$10</definedName>
    <definedName name="okd_lhas_dstuc">'IX. Box 1'!$U$11</definedName>
    <definedName name="okd_lhas_mdnc">'IX. Box 1'!$U$8</definedName>
    <definedName name="okd_lhas_mhwc">'IX. Box 1'!$U$9</definedName>
    <definedName name="personnel_adminofficer_II_actual_total">'[1]IV. Table 1'!$Z$40</definedName>
    <definedName name="personnel_adminofficer_II_natl_fund_total_es">'[1]IV. Table 1'!$AP$40</definedName>
    <definedName name="personnel_adminofficer_II_num_pos_assigned_total">'[1]IV. Table 1'!$AH$40</definedName>
    <definedName name="personnel_adminofficer_IV_actual_total">'[1]IV. Table 1'!$Z$39</definedName>
    <definedName name="personnel_adminofficer_IV_natl_fund_total_es">'[1]IV. Table 1'!$AP$39</definedName>
    <definedName name="personnel_adminofficer_IV_num_pos_assigned_total">'[1]IV. Table 1'!$AH$39</definedName>
    <definedName name="personnel_affected_need_pss_nonteaching_f">'[1]XII. Box 3 (Part 3)'!$AN$73</definedName>
    <definedName name="personnel_affected_need_pss_nonteaching_m">'[1]XII. Box 3 (Part 3)'!$AK$73</definedName>
    <definedName name="personnel_affected_need_pss_teaching_f">'[1]XII. Box 3 (Part 3)'!$AH$73</definedName>
    <definedName name="personnel_affected_need_pss_teaching_m">'[1]XII. Box 3 (Part 3)'!$AE$73</definedName>
    <definedName name="personnel_affected_provided_mhpss_nonteaching_f">'[1]XII. Box 3 (Part 3)'!$AN$71</definedName>
    <definedName name="personnel_affected_provided_mhpss_nonteaching_m">'[1]XII. Box 3 (Part 3)'!$AK$71</definedName>
    <definedName name="personnel_affected_provided_mhpss_teaching_f">'[1]XII. Box 3 (Part 3)'!$AH$71</definedName>
    <definedName name="personnel_affected_provided_mhpss_teaching_m">'[1]XII. Box 3 (Part 3)'!$AE$71</definedName>
    <definedName name="personnel_affected_ref_mechanism_nonteaching_f">'[1]XII. Box 3 (Part 3)'!$AN$75</definedName>
    <definedName name="personnel_affected_ref_mechanism_nonteaching_m">'[1]XII. Box 3 (Part 3)'!$AK$75</definedName>
    <definedName name="personnel_affected_ref_mechanism_teaching_f">'[1]XII. Box 3 (Part 3)'!$AH$75</definedName>
    <definedName name="personnel_affected_ref_mechanism_teaching_m">'[1]XII. Box 3 (Part 3)'!$AE$75</definedName>
    <definedName name="personnel_asp1_actual_total">'[1]IV. Table 1'!$Z$24</definedName>
    <definedName name="personnel_asp1_natl_fund_total_es">'[1]IV. Table 1'!$AP$24</definedName>
    <definedName name="personnel_asp1_num_pos_assigned_total">'[1]IV. Table 1'!$AH$24</definedName>
    <definedName name="personnel_asp2_actual_total">'[1]IV. Table 1'!$Z$23</definedName>
    <definedName name="personnel_asp2_natl_fund_total_es">'[1]IV. Table 1'!$AP$23</definedName>
    <definedName name="personnel_asp2_num_pos_assigned_total">'[1]IV. Table 1'!$AH$23</definedName>
    <definedName name="personnel_asp3_actual_total">'[1]IV. Table 1'!$Z$22</definedName>
    <definedName name="personnel_asp3_natl_fund_total_es">'[1]IV. Table 1'!$AP$22</definedName>
    <definedName name="personnel_asp3_num_pos_assigned_total">'[1]IV. Table 1'!$AH$22</definedName>
    <definedName name="personnel_assp_actual_total">'[1]IV. Table 1'!$Z$25</definedName>
    <definedName name="personnel_assp_natl_fund_total_es">'[1]IV. Table 1'!$AP$25</definedName>
    <definedName name="personnel_assp_num_pos_assigned_total">'[1]IV. Table 1'!$AH$25</definedName>
    <definedName name="personnel_clerk_actual_total">'[1]IV. Table 1'!$Z$45</definedName>
    <definedName name="personnel_clerk_natl_fund_total_es">'[1]IV. Table 1'!$AP$45</definedName>
    <definedName name="personnel_clerk_num_pos_assigned_total">'[1]IV. Table 1'!$AH$45</definedName>
    <definedName name="personnel_cmt_I_actual_total">'[1]IV. Table 1'!$Z$42</definedName>
    <definedName name="personnel_cmt_I_natl_fund_total_es">'[1]IV. Table 1'!$AP$42</definedName>
    <definedName name="personnel_cmt_I_num_pos_assigned_total">'[1]IV. Table 1'!$AH$42</definedName>
    <definedName name="personnel_disbofficer_actual_total">'[1]IV. Table 1'!$Z$44</definedName>
    <definedName name="personnel_disbofficer_natl_fund_total_es">'[1]IV. Table 1'!$AP$44</definedName>
    <definedName name="personnel_disbofficer_num_pos_assigned_total">'[1]IV. Table 1'!$AH$44</definedName>
    <definedName name="personnel_elem_lgu">'[1]IV. Tables 7 &amp; 8'!$AC$55</definedName>
    <definedName name="personnel_elem_locally_funded_total">'[1]IV. Tables 7 &amp; 8'!$AI$55</definedName>
    <definedName name="personnel_elem_sef_mun_city">'[1]IV. Tables 7 &amp; 8'!$W$55</definedName>
    <definedName name="personnel_elem_sef_prov">'[1]IV. Tables 7 &amp; 8'!$Q$55</definedName>
    <definedName name="personnel_es_handling_alscl_actual_total">'[1]IV. Table 4'!$Z$35</definedName>
    <definedName name="personnel_es_handling_alscl_assigned_total">'[1]IV. Table 4'!$AH$35</definedName>
    <definedName name="personnel_es_handling_alscl_m">'[1]IV. Table 4'!$Z$35</definedName>
    <definedName name="personnel_es_handling_dalsc_actual_total">'[1]IV. Table 4'!$Z$36</definedName>
    <definedName name="personnel_es_handling_dalsc_assigned_total">'[1]IV. Table 4'!$AH$36</definedName>
    <definedName name="personnel_es_handling_dalsc_m">'[1]IV. Table 4'!$Z$36</definedName>
    <definedName name="personnel_es_handling_sch_als_actual_total">'[1]IV. Table 4'!$Z$37</definedName>
    <definedName name="personnel_es_handling_sch_als_assigned_total">'[1]IV. Table 4'!$AH$37</definedName>
    <definedName name="personnel_es_handling_sch_als_m">'[1]IV. Table 4'!$Z$37</definedName>
    <definedName name="personnel_es_mt1_actual_total">'[1]IV. Table 4'!$Z$20</definedName>
    <definedName name="personnel_es_mt1_nationally_funded_total">'[1]IV. Table 4'!$AP$20</definedName>
    <definedName name="personnel_es_mt1_num_pos_assigned_total">'[1]IV. Table 4'!$AH$20</definedName>
    <definedName name="personnel_es_mt2_actual_total">'[1]IV. Table 4'!$Z$19</definedName>
    <definedName name="personnel_es_mt2_nationally_funded_total">'[1]IV. Table 4'!$AP$19</definedName>
    <definedName name="personnel_es_mt2_num_pos_assigned_total">'[1]IV. Table 4'!$AH$19</definedName>
    <definedName name="personnel_es_mt3_actual_total">'[1]IV. Table 4'!$Z$18</definedName>
    <definedName name="personnel_es_mt3_nationally_funded_total">'[1]IV. Table 4'!$AP$18</definedName>
    <definedName name="personnel_es_mt3_num_pos_assigned_total">'[1]IV. Table 4'!$AH$18</definedName>
    <definedName name="personnel_es_mt4_actual_total">'[1]IV. Table 4'!$Z$17</definedName>
    <definedName name="personnel_es_mt4_nationally_funded_total">'[1]IV. Table 4'!$AP$17</definedName>
    <definedName name="personnel_es_mt4_num_pos_assigned_total">'[1]IV. Table 4'!$AH$17</definedName>
    <definedName name="personnel_es_mt5_actual_total">'[1]IV. Table 4'!$Z$16</definedName>
    <definedName name="personnel_es_mt5_nationally_funded_total">'[1]IV. Table 4'!$AP$16</definedName>
    <definedName name="personnel_es_mt5_num_pos_assigned_total">'[1]IV. Table 4'!$AH$16</definedName>
    <definedName name="personnel_es_spedt1_actual_total">'[1]IV. Table 4'!$Z$32</definedName>
    <definedName name="personnel_es_spedt1_nationally_funded_total">'[1]IV. Table 4'!$AP$32</definedName>
    <definedName name="personnel_es_spedt1_num_pos_assigned_total">'[1]IV. Table 4'!$AH$32</definedName>
    <definedName name="personnel_es_spedt2_actual_total">'[1]IV. Table 4'!$Z$31</definedName>
    <definedName name="personnel_es_spedt2_nationally_funded_total">'[1]IV. Table 4'!$AP$31</definedName>
    <definedName name="personnel_es_spedt2_num_pos_assigned_total">'[1]IV. Table 4'!$AH$31</definedName>
    <definedName name="personnel_es_spedt3_actual_total">'[1]IV. Table 4'!$Z$30</definedName>
    <definedName name="personnel_es_spedt3_nationally_funded_total">'[1]IV. Table 4'!$AP$30</definedName>
    <definedName name="personnel_es_spedt3_num_pos_assigned_total">'[1]IV. Table 4'!$AH$30</definedName>
    <definedName name="personnel_es_spedt4_actual_total">'[1]IV. Table 4'!$Z$29</definedName>
    <definedName name="personnel_es_spedt4_nationally_funded_total">'[1]IV. Table 4'!$AP$29</definedName>
    <definedName name="personnel_es_spedt4_num_pos_assigned_total">'[1]IV. Table 4'!$AH$29</definedName>
    <definedName name="personnel_es_spedt5_actual_total">'[1]IV. Table 4'!$Z$28</definedName>
    <definedName name="personnel_es_spedt5_nationally_funded_total">'[1]IV. Table 4'!$AP$28</definedName>
    <definedName name="personnel_es_spedt5_num_pos_assigned_total">'[1]IV. Table 4'!$AH$28</definedName>
    <definedName name="personnel_es_t1_actual_total">'[1]IV. Table 4'!$Z$27</definedName>
    <definedName name="personnel_es_t1_nationally_funded_total">'[1]IV. Table 4'!$AP$27</definedName>
    <definedName name="personnel_es_t1_num_pos_assigned_total">'[1]IV. Table 4'!$AH$27</definedName>
    <definedName name="personnel_es_t2_actual_total">'[1]IV. Table 4'!$Z$26</definedName>
    <definedName name="personnel_es_t2_nationally_funded_total">'[1]IV. Table 4'!$AP$26</definedName>
    <definedName name="personnel_es_t2_num_pos_assigned_total">'[1]IV. Table 4'!$AH$26</definedName>
    <definedName name="personnel_es_t3_actual_total">'[1]IV. Table 4'!$Z$25</definedName>
    <definedName name="personnel_es_t3_nationally_funded_total">'[1]IV. Table 4'!$AP$25</definedName>
    <definedName name="personnel_es_t3_num_pos_assigned_total">'[1]IV. Table 4'!$AH$25</definedName>
    <definedName name="personnel_es_t4_actual_total">'[1]IV. Table 4'!$Z$24</definedName>
    <definedName name="personnel_es_t4_nationally_funded_total">'[1]IV. Table 4'!$AP$24</definedName>
    <definedName name="personnel_es_t4_num_pos_assigned_total">'[1]IV. Table 4'!$AH$24</definedName>
    <definedName name="personnel_es_t5_actual_total">'[1]IV. Table 4'!$Z$23</definedName>
    <definedName name="personnel_es_t5_nationally_funded_total">'[1]IV. Table 4'!$AP$23</definedName>
    <definedName name="personnel_es_t5_num_pos_assigned_total">'[1]IV. Table 4'!$AH$23</definedName>
    <definedName name="personnel_es_t6_actual_total">'[1]IV. Table 4'!$Z$22</definedName>
    <definedName name="personnel_es_t6_nationally_funded_total">'[1]IV. Table 4'!$AP$22</definedName>
    <definedName name="personnel_es_t6_num_pos_assigned_total">'[1]IV. Table 4'!$AH$22</definedName>
    <definedName name="personnel_es_t7_actual_total">'[1]IV. Table 4'!$Z$21</definedName>
    <definedName name="personnel_es_t7_nationally_funded_total">'[1]IV. Table 4'!$AP$21</definedName>
    <definedName name="personnel_es_t7_num_pos_assigned_total">'[1]IV. Table 4'!$AH$21</definedName>
    <definedName name="personnel_guidancecoor_I_actual_total">'[1]IV. Table 1'!$Z$34</definedName>
    <definedName name="personnel_guidancecoor_I_natl_fund_total_es">'[1]IV. Table 1'!$AP$34</definedName>
    <definedName name="personnel_guidancecoor_I_num_pos_assigned_total">'[1]IV. Table 1'!$AH$34</definedName>
    <definedName name="personnel_guidancecoor_II_actual_total">'[1]IV. Table 1'!$Z$33</definedName>
    <definedName name="personnel_guidancecoor_II_natl_fund_total_es">'[1]IV. Table 1'!$AP$33</definedName>
    <definedName name="personnel_guidancecoor_II_num_pos_assigned_total">'[1]IV. Table 1'!$AH$33</definedName>
    <definedName name="personnel_guidancecoor_III_actual_total">'[1]IV. Table 1'!$Z$32</definedName>
    <definedName name="personnel_guidancecoor_III_natl_fund_total_es">'[1]IV. Table 1'!$AP$32</definedName>
    <definedName name="personnel_guidancecoor_III_num_pos_assigned_total">'[1]IV. Table 1'!$AH$32</definedName>
    <definedName name="personnel_guidancecounsel_I_actual_total">'[1]IV. Table 1'!$Z$37</definedName>
    <definedName name="personnel_guidancecounsel_I_natl_fund_total_es">'[1]IV. Table 1'!$AP$37</definedName>
    <definedName name="personnel_guidancecounsel_I_num_pos_assigned_total">'[1]IV. Table 1'!$AH$37</definedName>
    <definedName name="personnel_guidancecounsel_II_actual_total">'[1]IV. Table 1'!$Z$36</definedName>
    <definedName name="personnel_guidancecounsel_II_natl_fund_total_es">'[1]IV. Table 1'!$AP$36</definedName>
    <definedName name="personnel_guidancecounsel_II_num_pos_assigned_total">'[1]IV. Table 1'!$AH$36</definedName>
    <definedName name="personnel_guidancecounsel_III_actual_total">'[1]IV. Table 1'!$Z$35</definedName>
    <definedName name="personnel_guidancecounsel_III_natl_fund_total_es">'[1]IV. Table 1'!$AP$35</definedName>
    <definedName name="personnel_guidancecounsel_III_num_pos_assigned_total">'[1]IV. Table 1'!$AH$35</definedName>
    <definedName name="personnel_ht1_actual_total">'[1]IV. Table 1'!$Z$31</definedName>
    <definedName name="personnel_ht1_natl_fund_total_es">'[1]IV. Table 1'!$AP$31</definedName>
    <definedName name="personnel_ht1_num_pos_assigned_total">'[1]IV. Table 1'!$AH$31</definedName>
    <definedName name="personnel_ht2_actual_total">'[1]IV. Table 1'!$Z$30</definedName>
    <definedName name="personnel_ht2_natl_fund_total_es">'[1]IV. Table 1'!$AP$30</definedName>
    <definedName name="personnel_ht2_num_pos_assigned_total">'[1]IV. Table 1'!$AH$30</definedName>
    <definedName name="personnel_ht3_actual_total">'[1]IV. Table 1'!$Z$29</definedName>
    <definedName name="personnel_ht3_natl_fund_total_es">'[1]IV. Table 1'!$AP$29</definedName>
    <definedName name="personnel_ht3_num_pos_assigned_total">'[1]IV. Table 1'!$AH$29</definedName>
    <definedName name="personnel_ht4_actual_total">'[1]IV. Table 1'!$Z$28</definedName>
    <definedName name="personnel_ht4_natl_fund_total_es">'[1]IV. Table 1'!$AP$28</definedName>
    <definedName name="personnel_ht4_num_pos_assigned_total">'[1]IV. Table 1'!$AH$28</definedName>
    <definedName name="personnel_ht5_actual_total">'[1]IV. Table 1'!$Z$27</definedName>
    <definedName name="personnel_ht5_natl_fund_total_es">'[1]IV. Table 1'!$AP$27</definedName>
    <definedName name="personnel_ht5_num_pos_assigned_total">'[1]IV. Table 1'!$AH$27</definedName>
    <definedName name="personnel_ht6_actual_total">'[1]IV. Table 1'!$Z$26</definedName>
    <definedName name="personnel_ht6_natl_fund_total_es">'[1]IV. Table 1'!$AP$26</definedName>
    <definedName name="personnel_ht6_num_pos_assigned_total">'[1]IV. Table 1'!$AH$26</definedName>
    <definedName name="personnel_jhs_adminofcr2_actual_total">'[1]IV. Table 2'!$Z$42</definedName>
    <definedName name="personnel_jhs_adminofcr2_borrowed_total">'[1]IV. Table 2'!$BV$42</definedName>
    <definedName name="personnel_jhs_adminofcr2_detailed_total">'[1]IV. Table 2'!$AX$42</definedName>
    <definedName name="personnel_jhs_adminofcr2_natl_fund_total">'[1]IV. Table 2'!$BZ$42</definedName>
    <definedName name="personnel_jhs_adminofcr2_spi_total">'[1]IV. Table 2'!$BB$42</definedName>
    <definedName name="personnel_jhs_adminofcr4_actual_total">'[1]IV. Table 2'!$Z$41</definedName>
    <definedName name="personnel_jhs_adminofcr4_borrowed_total">'[1]IV. Table 2'!$BV$41</definedName>
    <definedName name="personnel_jhs_adminofcr4_detailed_total">'[1]IV. Table 2'!$AX$41</definedName>
    <definedName name="personnel_jhs_adminofcr4_natl_fund_total">'[1]IV. Table 2'!$BZ$41</definedName>
    <definedName name="personnel_jhs_adminofcr4_spi_total">'[1]IV. Table 2'!$BB$41</definedName>
    <definedName name="personnel_jhs_ap1_actual_total">'[1]IV. Table 2'!$Z$26</definedName>
    <definedName name="personnel_jhs_ap1_borrowed_total">'[1]IV. Table 2'!$BV$26</definedName>
    <definedName name="personnel_jhs_ap1_detailed_total">'[1]IV. Table 2'!$AX$26</definedName>
    <definedName name="personnel_jhs_ap1_natl_fund_total">'[1]IV. Table 2'!$BZ$26</definedName>
    <definedName name="personnel_jhs_ap1_spi_total">'[1]IV. Table 2'!$BB$26</definedName>
    <definedName name="personnel_jhs_ap2_actual_total">'[1]IV. Table 2'!$Z$25</definedName>
    <definedName name="personnel_jhs_ap2_borrowed_total">'[1]IV. Table 2'!$BV$25</definedName>
    <definedName name="personnel_jhs_ap2_detailed_total">'[1]IV. Table 2'!$AX$25</definedName>
    <definedName name="personnel_jhs_ap2_natl_fund_total">'[1]IV. Table 2'!$BZ$25</definedName>
    <definedName name="personnel_jhs_ap2_spi_total">'[1]IV. Table 2'!$BB$25</definedName>
    <definedName name="personnel_jhs_ap3_actual_total">'[1]IV. Table 2'!$Z$24</definedName>
    <definedName name="personnel_jhs_ap3_borrowed_total">'[1]IV. Table 2'!$BV$24</definedName>
    <definedName name="personnel_jhs_ap3_detailed_total">'[1]IV. Table 2'!$AX$24</definedName>
    <definedName name="personnel_jhs_ap3_natl_fund_total">'[1]IV. Table 2'!$BZ$24</definedName>
    <definedName name="personnel_jhs_ap3_spi_total">'[1]IV. Table 2'!$BB$24</definedName>
    <definedName name="personnel_jhs_assp_actual_total">'[1]IV. Table 2'!$Z$27</definedName>
    <definedName name="personnel_jhs_assp_borrowed_total">'[1]IV. Table 2'!$BV$27</definedName>
    <definedName name="personnel_jhs_assp_detailed_total">'[1]IV. Table 2'!$AX$27</definedName>
    <definedName name="personnel_jhs_assp_natl_fund_total">'[1]IV. Table 2'!$BZ$27</definedName>
    <definedName name="personnel_jhs_assp_spi_total">'[1]IV. Table 2'!$BB$27</definedName>
    <definedName name="personnel_jhs_clerk_actual_total">'[1]IV. Table 2'!$Z$47</definedName>
    <definedName name="personnel_jhs_clerk_borrowed_total">'[1]IV. Table 2'!$BV$47</definedName>
    <definedName name="personnel_jhs_clerk_detailed_total">'[1]IV. Table 2'!$AX$47</definedName>
    <definedName name="personnel_jhs_clerk_natl_fund_total">'[1]IV. Table 2'!$BZ$47</definedName>
    <definedName name="personnel_jhs_clerk_spi_total">'[1]IV. Table 2'!$BB$47</definedName>
    <definedName name="personnel_jhs_cmt_I_actual_total">'[1]IV. Table 2'!$Z$44</definedName>
    <definedName name="personnel_jhs_cmt_I_borrowed_total">'[1]IV. Table 2'!$BV$44</definedName>
    <definedName name="personnel_jhs_cmt_I_detailed_total">'[1]IV. Table 2'!$AX$44</definedName>
    <definedName name="personnel_jhs_cmt_I_natl_fund_total">'[1]IV. Table 2'!$BZ$44</definedName>
    <definedName name="personnel_jhs_cmt_I_spi_total">'[1]IV. Table 2'!$BB$44</definedName>
    <definedName name="personnel_jhs_disbofficer_actual_total">'[1]IV. Table 2'!$Z$46</definedName>
    <definedName name="personnel_jhs_disbofficer_borrowed_total">'[1]IV. Table 2'!$BV$46</definedName>
    <definedName name="personnel_jhs_disbofficer_detailed_total">'[1]IV. Table 2'!$AX$46</definedName>
    <definedName name="personnel_jhs_disbofficer_natl_fund_total">'[1]IV. Table 2'!$BZ$46</definedName>
    <definedName name="personnel_jhs_disbofficer_spi_total">'[1]IV. Table 2'!$BB$46</definedName>
    <definedName name="personnel_jhs_guidancecoor_I_actual_total">'[1]IV. Table 2'!$Z$36</definedName>
    <definedName name="personnel_jhs_guidancecoor_I_borrowed_total">'[1]IV. Table 2'!$BV$36</definedName>
    <definedName name="personnel_jhs_guidancecoor_I_detailed_total">'[1]IV. Table 2'!$AX$36</definedName>
    <definedName name="personnel_jhs_guidancecoor_I_natl_fund_total">'[1]IV. Table 2'!$BZ$36</definedName>
    <definedName name="personnel_jhs_guidancecoor_I_spi_total">'[1]IV. Table 2'!$BB$36</definedName>
    <definedName name="personnel_jhs_guidancecoor_II_actual_total">'[1]IV. Table 2'!$Z$35</definedName>
    <definedName name="personnel_jhs_guidancecoor_II_borrowed_total">'[1]IV. Table 2'!$BV$35</definedName>
    <definedName name="personnel_jhs_guidancecoor_II_detailed_total">'[1]IV. Table 2'!$AX$35</definedName>
    <definedName name="personnel_jhs_guidancecoor_II_natl_fund_total">'[1]IV. Table 2'!$BZ$35</definedName>
    <definedName name="personnel_jhs_guidancecoor_II_spi_total">'[1]IV. Table 2'!$BB$35</definedName>
    <definedName name="personnel_jhs_guidancecoor_III_actual_total">'[1]IV. Table 2'!$Z$34</definedName>
    <definedName name="personnel_jhs_guidancecoor_III_borrowed_total">'[1]IV. Table 2'!$BV$34</definedName>
    <definedName name="personnel_jhs_guidancecoor_III_detailed_total">'[1]IV. Table 2'!$AX$34</definedName>
    <definedName name="personnel_jhs_guidancecoor_III_natl_fund_total">'[1]IV. Table 2'!$BZ$34</definedName>
    <definedName name="personnel_jhs_guidancecoor_III_spi_total">'[1]IV. Table 2'!$BB$34</definedName>
    <definedName name="personnel_jhs_guidancecounsel_I_actual_total">'[1]IV. Table 2'!$Z$39</definedName>
    <definedName name="personnel_jhs_guidancecounsel_I_borrowed_total">'[1]IV. Table 2'!$BV$39</definedName>
    <definedName name="personnel_jhs_guidancecounsel_I_detailed_total">'[1]IV. Table 2'!$AX$39</definedName>
    <definedName name="personnel_jhs_guidancecounsel_I_natl_fund_total">'[1]IV. Table 2'!$BZ$39</definedName>
    <definedName name="personnel_jhs_guidancecounsel_I_spi_total">'[1]IV. Table 2'!$BB$39</definedName>
    <definedName name="personnel_jhs_guidancecounsel_II_actual_total">'[1]IV. Table 2'!$Z$38</definedName>
    <definedName name="personnel_jhs_guidancecounsel_II_borrowed_total">'[1]IV. Table 2'!$BV$38</definedName>
    <definedName name="personnel_jhs_guidancecounsel_II_detailed_total">'[1]IV. Table 2'!$AX$38</definedName>
    <definedName name="personnel_jhs_guidancecounsel_II_natl_fund_total">'[1]IV. Table 2'!$BZ$38</definedName>
    <definedName name="personnel_jhs_guidancecounsel_II_spi_total">'[1]IV. Table 2'!$BB$38</definedName>
    <definedName name="personnel_jhs_guidancecounsel_III_actual_total">'[1]IV. Table 2'!$Z$37</definedName>
    <definedName name="personnel_jhs_guidancecounsel_III_borrowed_total">'[1]IV. Table 2'!$BV$37</definedName>
    <definedName name="personnel_jhs_guidancecounsel_III_detailed_total">'[1]IV. Table 2'!$AX$37</definedName>
    <definedName name="personnel_jhs_guidancecounsel_III_natl_fund_total">'[1]IV. Table 2'!$BZ$37</definedName>
    <definedName name="personnel_jhs_guidancecounsel_III_spi_total">'[1]IV. Table 2'!$BB$37</definedName>
    <definedName name="personnel_jhs_handling_alivecl_actual_total">'[1]IV. Table 5'!$Z$43</definedName>
    <definedName name="personnel_jhs_handling_g11to12_actual_total">'[1]IV. Table 5'!$Z$42</definedName>
    <definedName name="personnel_jhs_handling_spedcl_actual_total">'[1]IV. Table 5'!$Z$44</definedName>
    <definedName name="personnel_jhs_ht1_actual_total">'[1]IV. Table 2'!$Z$33</definedName>
    <definedName name="personnel_jhs_ht1_borrowed_total">'[1]IV. Table 2'!$BV$33</definedName>
    <definedName name="personnel_jhs_ht1_detailed_total">'[1]IV. Table 2'!$AX$33</definedName>
    <definedName name="personnel_jhs_ht1_natl_fund_total">'[1]IV. Table 2'!$BZ$33</definedName>
    <definedName name="personnel_jhs_ht1_spi_total">'[1]IV. Table 2'!$BB$33</definedName>
    <definedName name="personnel_jhs_ht2_actual_total">'[1]IV. Table 2'!$Z$32</definedName>
    <definedName name="personnel_jhs_ht2_borrowed_total">'[1]IV. Table 2'!$BV$32</definedName>
    <definedName name="personnel_jhs_ht2_detailed_total">'[1]IV. Table 2'!$AX$32</definedName>
    <definedName name="personnel_jhs_ht2_natl_fund_total">'[1]IV. Table 2'!$BZ$32</definedName>
    <definedName name="personnel_jhs_ht2_spi_total">'[1]IV. Table 2'!$BB$32</definedName>
    <definedName name="personnel_jhs_ht3_actual_total">'[1]IV. Table 2'!$Z$31</definedName>
    <definedName name="personnel_jhs_ht3_borrowed_total">'[1]IV. Table 2'!$BV$31</definedName>
    <definedName name="personnel_jhs_ht3_detailed_total">'[1]IV. Table 2'!$AX$31</definedName>
    <definedName name="personnel_jhs_ht3_natl_fund_total">'[1]IV. Table 2'!$BZ$31</definedName>
    <definedName name="personnel_jhs_ht3_spi_total">'[1]IV. Table 2'!$BB$31</definedName>
    <definedName name="personnel_jhs_ht4_actual_total">'[1]IV. Table 2'!$Z$30</definedName>
    <definedName name="personnel_jhs_ht4_borrowed_total">'[1]IV. Table 2'!$BV$30</definedName>
    <definedName name="personnel_jhs_ht4_detailed_total">'[1]IV. Table 2'!$AX$30</definedName>
    <definedName name="personnel_jhs_ht4_natl_fund_total">'[1]IV. Table 2'!$BZ$30</definedName>
    <definedName name="personnel_jhs_ht4_spi_total">'[1]IV. Table 2'!$BB$30</definedName>
    <definedName name="personnel_jhs_ht5_actual_total">'[1]IV. Table 2'!$Z$29</definedName>
    <definedName name="personnel_jhs_ht5_borrowed_total">'[1]IV. Table 2'!$BV$29</definedName>
    <definedName name="personnel_jhs_ht5_detailed_total">'[1]IV. Table 2'!$AX$29</definedName>
    <definedName name="personnel_jhs_ht5_natl_fund_total">'[1]IV. Table 2'!$BZ$29</definedName>
    <definedName name="personnel_jhs_ht5_spi_total">'[1]IV. Table 2'!$BB$29</definedName>
    <definedName name="personnel_jhs_ht6_actual_total">'[1]IV. Table 2'!$Z$28</definedName>
    <definedName name="personnel_jhs_ht6_borrowed_total">'[1]IV. Table 2'!$BV$28</definedName>
    <definedName name="personnel_jhs_ht6_detailed_total">'[1]IV. Table 2'!$AX$28</definedName>
    <definedName name="personnel_jhs_ht6_natl_fund_total">'[1]IV. Table 2'!$BZ$28</definedName>
    <definedName name="personnel_jhs_ht6_spi_total">'[1]IV. Table 2'!$BB$28</definedName>
    <definedName name="personnel_jhs_instructor1_actual_total">'[1]IV. Table 5'!$Z$20</definedName>
    <definedName name="personnel_jhs_instructor1_borrowed_total">'[1]IV. Table 5'!$BV$20</definedName>
    <definedName name="personnel_jhs_instructor1_detailed_total">'[1]IV. Table 5'!$AX$20</definedName>
    <definedName name="personnel_jhs_instructor1_nationally_funded_total">'[1]IV. Table 5'!$BZ$20</definedName>
    <definedName name="personnel_jhs_instructor1_spi_total">'[1]IV. Table 5'!$BB$20</definedName>
    <definedName name="personnel_jhs_instructor2_actual_total">'[1]IV. Table 5'!$Z$19</definedName>
    <definedName name="personnel_jhs_instructor2_borrowed_total">'[1]IV. Table 5'!$BV$19</definedName>
    <definedName name="personnel_jhs_instructor2_detailed_total">'[1]IV. Table 5'!$AX$19</definedName>
    <definedName name="personnel_jhs_instructor2_nationally_funded_total">'[1]IV. Table 5'!$BZ$19</definedName>
    <definedName name="personnel_jhs_instructor2_spi_total">'[1]IV. Table 5'!$BB$19</definedName>
    <definedName name="personnel_jhs_instructor3_actual_total">'[1]IV. Table 5'!$Z$18</definedName>
    <definedName name="personnel_jhs_instructor3_borrowed_total">'[1]IV. Table 5'!$BV$18</definedName>
    <definedName name="personnel_jhs_instructor3_detailed_total">'[1]IV. Table 5'!$AX$18</definedName>
    <definedName name="personnel_jhs_instructor3_nationally_funded_total">'[1]IV. Table 5'!$BZ$18</definedName>
    <definedName name="personnel_jhs_instructor3_spi_total">'[1]IV. Table 5'!$BB$18</definedName>
    <definedName name="personnel_jhs_mt1_actual_total">'[1]IV. Table 5'!$Z$25</definedName>
    <definedName name="personnel_jhs_mt1_borrowed_total">'[1]IV. Table 5'!$BV$25</definedName>
    <definedName name="personnel_jhs_mt1_detailed_total">'[1]IV. Table 5'!$AX$25</definedName>
    <definedName name="personnel_jhs_mt1_nationally_funded_total">'[1]IV. Table 5'!$BZ$25</definedName>
    <definedName name="personnel_jhs_mt1_spi_total">'[1]IV. Table 5'!$BB$25</definedName>
    <definedName name="personnel_jhs_mt2_actual_total">'[1]IV. Table 5'!$Z$24</definedName>
    <definedName name="personnel_jhs_mt2_borrowed_total">'[1]IV. Table 5'!$BV$24</definedName>
    <definedName name="personnel_jhs_mt2_detailed_total">'[1]IV. Table 5'!$AX$24</definedName>
    <definedName name="personnel_jhs_mt2_nationally_funded_total">'[1]IV. Table 5'!$BZ$24</definedName>
    <definedName name="personnel_jhs_mt2_spi_total">'[1]IV. Table 5'!$BB$24</definedName>
    <definedName name="personnel_jhs_mt3_actual_total">'[1]IV. Table 5'!$Z$23</definedName>
    <definedName name="personnel_jhs_mt3_borrowed_total">'[1]IV. Table 5'!$BV$23</definedName>
    <definedName name="personnel_jhs_mt3_detailed_total">'[1]IV. Table 5'!$AX$23</definedName>
    <definedName name="personnel_jhs_mt3_nationally_funded_total">'[1]IV. Table 5'!$BZ$23</definedName>
    <definedName name="personnel_jhs_mt3_spi_total">'[1]IV. Table 5'!$BB$23</definedName>
    <definedName name="personnel_jhs_mt4_actual_total">'[1]IV. Table 5'!$Z$22</definedName>
    <definedName name="personnel_jhs_mt4_borrowed_total">'[1]IV. Table 5'!$BV$22</definedName>
    <definedName name="personnel_jhs_mt4_detailed_total">'[1]IV. Table 5'!$AX$22</definedName>
    <definedName name="personnel_jhs_mt4_nationally_funded_total">'[1]IV. Table 5'!$BZ$22</definedName>
    <definedName name="personnel_jhs_mt4_spi_total">'[1]IV. Table 5'!$BB$22</definedName>
    <definedName name="personnel_jhs_mt5_actual_total">'[1]IV. Table 5'!$Z$21</definedName>
    <definedName name="personnel_jhs_mt5_borrowed_total">'[1]IV. Table 5'!$BV$21</definedName>
    <definedName name="personnel_jhs_mt5_detailed_total">'[1]IV. Table 5'!$AX$21</definedName>
    <definedName name="personnel_jhs_mt5_nationally_funded_total">'[1]IV. Table 5'!$BZ$21</definedName>
    <definedName name="personnel_jhs_mt5_spi_total">'[1]IV. Table 5'!$BB$21</definedName>
    <definedName name="personnel_jhs_pdo_I_actual_total">'[1]IV. Table 2'!$Z$43</definedName>
    <definedName name="personnel_jhs_pdo_I_borrowed_total">'[1]IV. Table 2'!$BV$43</definedName>
    <definedName name="personnel_jhs_pdo_I_detailed_total">'[1]IV. Table 2'!$AX$43</definedName>
    <definedName name="personnel_jhs_pdo_I_natl_fund_total">'[1]IV. Table 2'!$BZ$43</definedName>
    <definedName name="personnel_jhs_pdo_I_spi_total">'[1]IV. Table 2'!$BB$43</definedName>
    <definedName name="personnel_jhs_registrar1_actual_total">'[1]IV. Table 2'!$Z$40</definedName>
    <definedName name="personnel_jhs_registrar1_borrowed_total">'[1]IV. Table 2'!$BV$40</definedName>
    <definedName name="personnel_jhs_registrar1_detailed_total">'[1]IV. Table 2'!$AX$40</definedName>
    <definedName name="personnel_jhs_registrar1_natl_fund_total">'[1]IV. Table 2'!$BZ$40</definedName>
    <definedName name="personnel_jhs_registrar1_spi_total">'[1]IV. Table 2'!$BB$40</definedName>
    <definedName name="personnel_jhs_securityguard_actual_total">'[1]IV. Table 2'!$Z$48</definedName>
    <definedName name="personnel_jhs_securityguard_borrowed_total">'[1]IV. Table 2'!$BV$48</definedName>
    <definedName name="personnel_jhs_securityguard_detailed_total">'[1]IV. Table 2'!$AX$48</definedName>
    <definedName name="personnel_jhs_securityguard_natl_fund_total">'[1]IV. Table 2'!$BZ$48</definedName>
    <definedName name="personnel_jhs_securityguard_spi_total">'[1]IV. Table 2'!$BB$48</definedName>
    <definedName name="personnel_jhs_seniorbk_actual_total">'[1]IV. Table 2'!$Z$45</definedName>
    <definedName name="personnel_jhs_seniorbk_borrowed_total">'[1]IV. Table 2'!$BV$45</definedName>
    <definedName name="personnel_jhs_seniorbk_detailed_total">'[1]IV. Table 2'!$AX$45</definedName>
    <definedName name="personnel_jhs_seniorbk_natl_fund_total">'[1]IV. Table 2'!$BZ$45</definedName>
    <definedName name="personnel_jhs_seniorbk_spi_total">'[1]IV. Table 2'!$BB$45</definedName>
    <definedName name="personnel_jhs_sp1_actual_total">'[1]IV. Table 2'!$Z$21</definedName>
    <definedName name="personnel_jhs_sp1_borrowed_total">'[1]IV. Table 2'!$BV$21</definedName>
    <definedName name="personnel_jhs_sp1_detailed_total">'[1]IV. Table 2'!$AX$21</definedName>
    <definedName name="personnel_jhs_sp1_natl_fund_total">'[1]IV. Table 2'!$BZ$21</definedName>
    <definedName name="personnel_jhs_sp1_spi_total">'[1]IV. Table 2'!$BB$21</definedName>
    <definedName name="personnel_jhs_sp2_actual_total">'[1]IV. Table 2'!$Z$20</definedName>
    <definedName name="personnel_jhs_sp2_borrowed_total">'[1]IV. Table 2'!$BV$20</definedName>
    <definedName name="personnel_jhs_sp2_detailed_total">'[1]IV. Table 2'!$AX$20</definedName>
    <definedName name="personnel_jhs_sp2_natl_fund_total">'[1]IV. Table 2'!$BZ$20</definedName>
    <definedName name="personnel_jhs_sp2_spi_total">'[1]IV. Table 2'!$BB$20</definedName>
    <definedName name="personnel_jhs_sp3_actual_total">'[1]IV. Table 2'!$Z$19</definedName>
    <definedName name="personnel_jhs_sp3_borrowed_total">'[1]IV. Table 2'!$BV$19</definedName>
    <definedName name="personnel_jhs_sp3_detailed_total">'[1]IV. Table 2'!$AX$19</definedName>
    <definedName name="personnel_jhs_sp3_natl_fund_total">'[1]IV. Table 2'!$BZ$19</definedName>
    <definedName name="personnel_jhs_sp3_spi_total">'[1]IV. Table 2'!$BB$19</definedName>
    <definedName name="personnel_jhs_sp4_actual_total">'[1]IV. Table 2'!$Z$18</definedName>
    <definedName name="personnel_jhs_sp4_borrowed_total">'[1]IV. Table 2'!$BV$18</definedName>
    <definedName name="personnel_jhs_sp4_detailed_total">'[1]IV. Table 2'!$AX$18</definedName>
    <definedName name="personnel_jhs_sp4_natl_fund_total">'[1]IV. Table 2'!$BZ$18</definedName>
    <definedName name="personnel_jhs_sp4_spi_total">'[1]IV. Table 2'!$BB$18</definedName>
    <definedName name="personnel_jhs_sp5_actual_total">'[1]IV. Table 2'!$Z$17</definedName>
    <definedName name="personnel_jhs_sp5_borrowed_total">'[1]IV. Table 2'!$BV$17</definedName>
    <definedName name="personnel_jhs_sp5_detailed_total">'[1]IV. Table 2'!$AX$17</definedName>
    <definedName name="personnel_jhs_sp5_natl_fund_total">'[1]IV. Table 2'!$BZ$17</definedName>
    <definedName name="personnel_jhs_sp5_spi_total">'[1]IV. Table 2'!$BB$17</definedName>
    <definedName name="personnel_jhs_spedt1_actual_total">'[1]IV. Table 5'!$Z$39</definedName>
    <definedName name="personnel_jhs_spedt1_borrowed_total">'[1]IV. Table 5'!$BV$39</definedName>
    <definedName name="personnel_jhs_spedt1_detailed_total">'[1]IV. Table 5'!$AX$39</definedName>
    <definedName name="personnel_jhs_spedt1_nationally_funded_total">'[1]IV. Table 5'!$BZ$39</definedName>
    <definedName name="personnel_jhs_spedt1_spi_total">'[1]IV. Table 5'!$BB$39</definedName>
    <definedName name="personnel_jhs_spedt2_actual_total">'[1]IV. Table 5'!$Z$38</definedName>
    <definedName name="personnel_jhs_spedt2_borrowed_total">'[1]IV. Table 5'!$BV$38</definedName>
    <definedName name="personnel_jhs_spedt2_detailed_total">'[1]IV. Table 5'!$AX$38</definedName>
    <definedName name="personnel_jhs_spedt2_nationally_funded_total">'[1]IV. Table 5'!$BZ$38</definedName>
    <definedName name="personnel_jhs_spedt2_spi_total">'[1]IV. Table 5'!$BB$38</definedName>
    <definedName name="personnel_jhs_spedt3_actual_total">'[1]IV. Table 5'!$Z$37</definedName>
    <definedName name="personnel_jhs_spedt3_borrowed_total">'[1]IV. Table 5'!$BV$37</definedName>
    <definedName name="personnel_jhs_spedt3_detailed_total">'[1]IV. Table 5'!$AX$37</definedName>
    <definedName name="personnel_jhs_spedt3_nationally_funded_total">'[1]IV. Table 5'!$BZ$37</definedName>
    <definedName name="personnel_jhs_spedt3_spi_total">'[1]IV. Table 5'!$BB$37</definedName>
    <definedName name="personnel_jhs_spedt4_actual_total">'[1]IV. Table 5'!$Z$36</definedName>
    <definedName name="personnel_jhs_spedt4_borrowed_total">'[1]IV. Table 5'!$BV$36</definedName>
    <definedName name="personnel_jhs_spedt4_detailed_total">'[1]IV. Table 5'!$AX$36</definedName>
    <definedName name="personnel_jhs_spedt4_nationally_funded_total">'[1]IV. Table 5'!$BZ$36</definedName>
    <definedName name="personnel_jhs_spedt4_spi_total">'[1]IV. Table 5'!$BB$36</definedName>
    <definedName name="personnel_jhs_spedt5_actual_total">'[1]IV. Table 5'!$Z$35</definedName>
    <definedName name="personnel_jhs_spedt5_borrowed_total">'[1]IV. Table 5'!$BV$35</definedName>
    <definedName name="personnel_jhs_spedt5_detailed_total">'[1]IV. Table 5'!$AX$35</definedName>
    <definedName name="personnel_jhs_spedt5_nationally_funded_total">'[1]IV. Table 5'!$BZ$35</definedName>
    <definedName name="personnel_jhs_spedt5_spi_total">'[1]IV. Table 5'!$BB$35</definedName>
    <definedName name="personnel_jhs_ssp1_actual_total">'[1]IV. Table 2'!$Z$23</definedName>
    <definedName name="personnel_jhs_ssp1_borrowed_total">'[1]IV. Table 2'!$BV$23</definedName>
    <definedName name="personnel_jhs_ssp1_detailed_total">'[1]IV. Table 2'!$AX$23</definedName>
    <definedName name="personnel_jhs_ssp1_natl_fund_total">'[1]IV. Table 2'!$BZ$23</definedName>
    <definedName name="personnel_jhs_ssp1_spi_total">'[1]IV. Table 2'!$BB$23</definedName>
    <definedName name="personnel_jhs_ssp2_actual_total">'[1]IV. Table 2'!$Z$22</definedName>
    <definedName name="personnel_jhs_ssp2_borrowed_total">'[1]IV. Table 2'!$BV$22</definedName>
    <definedName name="personnel_jhs_ssp2_detailed_total">'[1]IV. Table 2'!$AX$22</definedName>
    <definedName name="personnel_jhs_ssp2_natl_fund_total">'[1]IV. Table 2'!$BZ$22</definedName>
    <definedName name="personnel_jhs_ssp2_spi_total">'[1]IV. Table 2'!$BB$22</definedName>
    <definedName name="personnel_jhs_sst1_actual_total">'[1]IV. Table 5'!$Z$34</definedName>
    <definedName name="personnel_jhs_sst1_borrowed_total">'[1]IV. Table 5'!$BV$34</definedName>
    <definedName name="personnel_jhs_sst1_detailed_total">'[1]IV. Table 5'!$AX$34</definedName>
    <definedName name="personnel_jhs_sst1_nationally_funded_total">'[1]IV. Table 5'!$BZ$34</definedName>
    <definedName name="personnel_jhs_sst1_spi_total">'[1]IV. Table 5'!$BB$34</definedName>
    <definedName name="personnel_jhs_sst2_actual_total">'[1]IV. Table 5'!$Z$33</definedName>
    <definedName name="personnel_jhs_sst2_borrowed_total">'[1]IV. Table 5'!$BV$33</definedName>
    <definedName name="personnel_jhs_sst2_detailed_total">'[1]IV. Table 5'!$AX$33</definedName>
    <definedName name="personnel_jhs_sst2_nationally_funded_total">'[1]IV. Table 5'!$BZ$33</definedName>
    <definedName name="personnel_jhs_sst2_spi_total">'[1]IV. Table 5'!$BB$33</definedName>
    <definedName name="personnel_jhs_t1_actual_total">'[1]IV. Table 5'!$Z$32</definedName>
    <definedName name="personnel_jhs_t1_borrowed_total">'[1]IV. Table 5'!$BV$32</definedName>
    <definedName name="personnel_jhs_t1_detailed_total">'[1]IV. Table 5'!$AX$32</definedName>
    <definedName name="personnel_jhs_t1_nationally_funded_total">'[1]IV. Table 5'!$BZ$32</definedName>
    <definedName name="personnel_jhs_t1_spi_total">'[1]IV. Table 5'!$BB$32</definedName>
    <definedName name="personnel_jhs_t2_actual_total">'[1]IV. Table 5'!$Z$31</definedName>
    <definedName name="personnel_jhs_t2_borrowed_total">'[1]IV. Table 5'!$BV$31</definedName>
    <definedName name="personnel_jhs_t2_detailed_total">'[1]IV. Table 5'!$AX$31</definedName>
    <definedName name="personnel_jhs_t2_nationally_funded_total">'[1]IV. Table 5'!$BZ$31</definedName>
    <definedName name="personnel_jhs_t2_spi_total">'[1]IV. Table 5'!$BB$31</definedName>
    <definedName name="personnel_jhs_t3_actual_total">'[1]IV. Table 5'!$Z$30</definedName>
    <definedName name="personnel_jhs_t3_borrowed_total">'[1]IV. Table 5'!$BV$30</definedName>
    <definedName name="personnel_jhs_t3_detailed_total">'[1]IV. Table 5'!$AX$30</definedName>
    <definedName name="personnel_jhs_t3_nationally_funded_total">'[1]IV. Table 5'!$BZ$30</definedName>
    <definedName name="personnel_jhs_t3_spi_total">'[1]IV. Table 5'!$BB$30</definedName>
    <definedName name="personnel_jhs_t4_actual_total">'[1]IV. Table 5'!$Z$29</definedName>
    <definedName name="personnel_jhs_t4_borrowed_total">'[1]IV. Table 5'!$BV$29</definedName>
    <definedName name="personnel_jhs_t4_detailed_total">'[1]IV. Table 5'!$AX$29</definedName>
    <definedName name="personnel_jhs_t4_nationally_funded_total">'[1]IV. Table 5'!$BZ$29</definedName>
    <definedName name="personnel_jhs_t4_spi_total">'[1]IV. Table 5'!$BB$29</definedName>
    <definedName name="personnel_jhs_t5_actual_total">'[1]IV. Table 5'!$Z$28</definedName>
    <definedName name="personnel_jhs_t5_borrowed_total">'[1]IV. Table 5'!$BV$28</definedName>
    <definedName name="personnel_jhs_t5_detailed_total">'[1]IV. Table 5'!$AX$28</definedName>
    <definedName name="personnel_jhs_t5_nationally_funded_total">'[1]IV. Table 5'!$BZ$28</definedName>
    <definedName name="personnel_jhs_t5_spi_total">'[1]IV. Table 5'!$BB$28</definedName>
    <definedName name="personnel_jhs_t6_actual_total">'[1]IV. Table 5'!$Z$27</definedName>
    <definedName name="personnel_jhs_t6_borrowed_total">'[1]IV. Table 5'!$BV$27</definedName>
    <definedName name="personnel_jhs_t6_detailed_total">'[1]IV. Table 5'!$AX$27</definedName>
    <definedName name="personnel_jhs_t6_nationally_funded_total">'[1]IV. Table 5'!$BZ$27</definedName>
    <definedName name="personnel_jhs_t6_spi_total">'[1]IV. Table 5'!$BB$27</definedName>
    <definedName name="personnel_jhs_t7_actual_total">'[1]IV. Table 5'!$Z$26</definedName>
    <definedName name="personnel_jhs_t7_borrowed_total">'[1]IV. Table 5'!$BV$26</definedName>
    <definedName name="personnel_jhs_t7_detailed_total">'[1]IV. Table 5'!$AX$26</definedName>
    <definedName name="personnel_jhs_t7_nationally_funded_total">'[1]IV. Table 5'!$BZ$26</definedName>
    <definedName name="personnel_jhs_t7_spi_total">'[1]IV. Table 5'!$BB$26</definedName>
    <definedName name="personnel_jhs_utilityworkerI_actual_total">'[1]IV. Table 2'!$Z$50</definedName>
    <definedName name="personnel_jhs_utilityworkerI_borrowed_total">'[1]IV. Table 2'!$BV$50</definedName>
    <definedName name="personnel_jhs_utilityworkerI_detailed_total">'[1]IV. Table 2'!$AX$50</definedName>
    <definedName name="personnel_jhs_utilityworkerI_natl_fund_total">'[1]IV. Table 2'!$BZ$50</definedName>
    <definedName name="personnel_jhs_utilityworkerI_spi_total">'[1]IV. Table 2'!$BB$50</definedName>
    <definedName name="personnel_jhs_watchman_actual_total">'[1]IV. Table 2'!$Z$49</definedName>
    <definedName name="personnel_jhs_watchman_borrowed_total">'[1]IV. Table 2'!$BV$49</definedName>
    <definedName name="personnel_jhs_watchman_detailed_total">'[1]IV. Table 2'!$AX$49</definedName>
    <definedName name="personnel_jhs_watchman_natl_fund_total">'[1]IV. Table 2'!$BZ$49</definedName>
    <definedName name="personnel_jhs_watchman_spi_total">'[1]IV. Table 2'!$BB$49</definedName>
    <definedName name="personnel_kinder_lgu">'[1]IV. Tables 7 &amp; 8'!$AC$54</definedName>
    <definedName name="personnel_kinder_locally_funded_total">'[1]IV. Tables 7 &amp; 8'!$AI$54</definedName>
    <definedName name="personnel_kinder_sef_mun_city">'[1]IV. Tables 7 &amp; 8'!$W$54</definedName>
    <definedName name="personnel_kinder_sef_prov">'[1]IV. Tables 7 &amp; 8'!$Q$54</definedName>
    <definedName name="personnel_nonteach_adminofcr2_actual_f">'[1]IV. Table 2'!$V$42</definedName>
    <definedName name="personnel_nonteach_adminofcr2_actual_f_shs">'[1]IV. Table 3'!$V$40</definedName>
    <definedName name="personnel_nonteach_adminofcr2_actual_m">'[1]IV. Table 2'!$R$42</definedName>
    <definedName name="personnel_nonteach_adminofcr2_actual_m_shs">'[1]IV. Table 3'!$R$40</definedName>
    <definedName name="personnel_nonteach_adminofcr2_borrowed_es">'[1]IV. Table 2'!$BF$42</definedName>
    <definedName name="personnel_nonteach_adminofcr2_borrowed_jhs">'[1]IV. Table 2'!$BJ$42</definedName>
    <definedName name="personnel_nonteach_adminofcr2_borrowed_odo">'[1]IV. Table 2'!$BR$42</definedName>
    <definedName name="personnel_nonteach_adminofcr2_borrowed_shs">'[1]IV. Table 2'!$BN$42</definedName>
    <definedName name="personnel_nonteach_adminofcr2_brrwdplantilla_shs">'[1]IV. Table 3'!$AL$40</definedName>
    <definedName name="personnel_nonteach_adminofcr2_detailed_es">'[1]IV. Table 2'!$AP$42</definedName>
    <definedName name="personnel_nonteach_adminofcr2_detailed_hs">'[1]IV. Table 2'!$AL$42</definedName>
    <definedName name="personnel_nonteach_adminofcr2_detailed_outdiv">'[1]IV. Table 2'!$AT$42</definedName>
    <definedName name="personnel_nonteach_adminofcr2_onleave">'[1]IV. Table 2'!$AD$42</definedName>
    <definedName name="personnel_nonteach_adminofcr2_onleave_shs">'[1]IV. Table 3'!$AD$40</definedName>
    <definedName name="personnel_nonteach_adminofcr2_vacant">'[1]IV. Table 2'!$AH$42</definedName>
    <definedName name="personnel_nonteach_adminofcr4_actual_f">'[1]IV. Table 2'!$V$41</definedName>
    <definedName name="personnel_nonteach_adminofcr4_actual_f_shs">'[1]IV. Table 3'!$V$39</definedName>
    <definedName name="personnel_nonteach_adminofcr4_actual_m">'[1]IV. Table 2'!$R$41</definedName>
    <definedName name="personnel_nonteach_adminofcr4_actual_m_shs">'[1]IV. Table 3'!$R$39</definedName>
    <definedName name="personnel_nonteach_adminofcr4_borrowed_es">'[1]IV. Table 2'!$BF$41</definedName>
    <definedName name="personnel_nonteach_adminofcr4_borrowed_jhs">'[1]IV. Table 2'!$BJ$41</definedName>
    <definedName name="personnel_nonteach_adminofcr4_borrowed_odo">'[1]IV. Table 2'!$BR$41</definedName>
    <definedName name="personnel_nonteach_adminofcr4_borrowed_shs">'[1]IV. Table 2'!$BN$41</definedName>
    <definedName name="personnel_nonteach_adminofcr4_brrwdplantilla_shs">'[1]IV. Table 3'!$AL$39</definedName>
    <definedName name="personnel_nonteach_adminofcr4_detailed_es">'[1]IV. Table 2'!$AP$41</definedName>
    <definedName name="personnel_nonteach_adminofcr4_detailed_hs">'[1]IV. Table 2'!$AL$41</definedName>
    <definedName name="personnel_nonteach_adminofcr4_detailed_outdiv">'[1]IV. Table 2'!$AT$41</definedName>
    <definedName name="personnel_nonteach_adminofcr4_onleave">'[1]IV. Table 2'!$AD$41</definedName>
    <definedName name="personnel_nonteach_adminofcr4_onleave_shs">'[1]IV. Table 3'!$AD$39</definedName>
    <definedName name="personnel_nonteach_adminofcr4_vacant">'[1]IV. Table 2'!$AH$41</definedName>
    <definedName name="personnel_nonteach_adminofficer_II_actual_f">'[1]IV. Table 1'!$V$40</definedName>
    <definedName name="personnel_nonteach_adminofficer_II_actual_m">'[1]IV. Table 1'!$R$40</definedName>
    <definedName name="personnel_nonteach_adminofficer_II_brrwdplantilla">'[1]IV. Table 1'!$AL$40</definedName>
    <definedName name="personnel_nonteach_adminofficer_II_onleave">'[1]IV. Table 1'!$AD$40</definedName>
    <definedName name="personnel_nonteach_adminofficer_IV_actual_f">'[1]IV. Table 1'!$V$39</definedName>
    <definedName name="personnel_nonteach_adminofficer_IV_actual_m">'[1]IV. Table 1'!$R$39</definedName>
    <definedName name="personnel_nonteach_adminofficer_IV_brrwdplantilla">'[1]IV. Table 1'!$AL$39</definedName>
    <definedName name="personnel_nonteach_adminofficer_IV_onleave">'[1]IV. Table 1'!$AD$39</definedName>
    <definedName name="personnel_nonteach_ap1_actual_f">'[1]IV. Table 2'!$V$26</definedName>
    <definedName name="personnel_nonteach_ap1_actual_m">'[1]IV. Table 2'!$R$26</definedName>
    <definedName name="personnel_nonteach_ap1_borrowed_es">'[1]IV. Table 2'!$BF$26</definedName>
    <definedName name="personnel_nonteach_ap1_borrowed_jhs">'[1]IV. Table 2'!$BJ$26</definedName>
    <definedName name="personnel_nonteach_ap1_borrowed_odo">'[1]IV. Table 2'!$BR$26</definedName>
    <definedName name="personnel_nonteach_ap1_borrowed_shs">'[1]IV. Table 2'!$BN$26</definedName>
    <definedName name="personnel_nonteach_ap1_detailed_es">'[1]IV. Table 2'!$AP$26</definedName>
    <definedName name="personnel_nonteach_ap1_detailed_hs">'[1]IV. Table 2'!$AL$26</definedName>
    <definedName name="personnel_nonteach_ap1_detailed_outdiv">'[1]IV. Table 2'!$AT$26</definedName>
    <definedName name="personnel_nonteach_ap1_onleave">'[1]IV. Table 2'!$AD$26</definedName>
    <definedName name="personnel_nonteach_ap1_vacant">'[1]IV. Table 2'!$AH$26</definedName>
    <definedName name="personnel_nonteach_ap2_actual_f">'[1]IV. Table 2'!$V$25</definedName>
    <definedName name="personnel_nonteach_ap2_actual_m">'[1]IV. Table 2'!$R$25</definedName>
    <definedName name="personnel_nonteach_ap2_borrowed_es">'[1]IV. Table 2'!$BF$25</definedName>
    <definedName name="personnel_nonteach_ap2_borrowed_jhs">'[1]IV. Table 2'!$BJ$25</definedName>
    <definedName name="personnel_nonteach_ap2_borrowed_odo">'[1]IV. Table 2'!$BR$25</definedName>
    <definedName name="personnel_nonteach_ap2_borrowed_shs">'[1]IV. Table 2'!$BN$25</definedName>
    <definedName name="personnel_nonteach_ap2_detailed_es">'[1]IV. Table 2'!$AP$25</definedName>
    <definedName name="personnel_nonteach_ap2_detailed_hs">'[1]IV. Table 2'!$AL$25</definedName>
    <definedName name="personnel_nonteach_ap2_detailed_outdiv">'[1]IV. Table 2'!$AT$25</definedName>
    <definedName name="personnel_nonteach_ap2_onleave">'[1]IV. Table 2'!$AD$25</definedName>
    <definedName name="personnel_nonteach_ap2_vacant">'[1]IV. Table 2'!$AH$25</definedName>
    <definedName name="personnel_nonteach_ap3_actual_f">'[1]IV. Table 2'!$V$24</definedName>
    <definedName name="personnel_nonteach_ap3_actual_m">'[1]IV. Table 2'!$R$24</definedName>
    <definedName name="personnel_nonteach_ap3_borrowed_es">'[1]IV. Table 2'!$BF$24</definedName>
    <definedName name="personnel_nonteach_ap3_borrowed_jhs">'[1]IV. Table 2'!$BJ$24</definedName>
    <definedName name="personnel_nonteach_ap3_borrowed_odo">'[1]IV. Table 2'!$BR$24</definedName>
    <definedName name="personnel_nonteach_ap3_borrowed_shs">'[1]IV. Table 2'!$BN$24</definedName>
    <definedName name="personnel_nonteach_ap3_detailed_es">'[1]IV. Table 2'!$AP$24</definedName>
    <definedName name="personnel_nonteach_ap3_detailed_hs">'[1]IV. Table 2'!$AL$24</definedName>
    <definedName name="personnel_nonteach_ap3_detailed_outdiv">'[1]IV. Table 2'!$AT$24</definedName>
    <definedName name="personnel_nonteach_ap3_onleave">'[1]IV. Table 2'!$AD$24</definedName>
    <definedName name="personnel_nonteach_ap3_vacant">'[1]IV. Table 2'!$AH$24</definedName>
    <definedName name="personnel_nonteach_asp1_actual_f">'[1]IV. Table 1'!$V$24</definedName>
    <definedName name="personnel_nonteach_asp1_actual_m">'[1]IV. Table 1'!$R$24</definedName>
    <definedName name="personnel_nonteach_asp1_brrwdplantilla">'[1]IV. Table 1'!$AL$24</definedName>
    <definedName name="personnel_nonteach_asp1_onleave">'[1]IV. Table 1'!$AD$24</definedName>
    <definedName name="personnel_nonteach_asp2_actual_f">'[1]IV. Table 1'!$V$23</definedName>
    <definedName name="personnel_nonteach_asp2_actual_m">'[1]IV. Table 1'!$R$23</definedName>
    <definedName name="personnel_nonteach_asp2_brrwdplantilla">'[1]IV. Table 1'!$AL$23</definedName>
    <definedName name="personnel_nonteach_asp2_onleave">'[1]IV. Table 1'!$AD$23</definedName>
    <definedName name="personnel_nonteach_asp3_actual_f">'[1]IV. Table 1'!$V$22</definedName>
    <definedName name="personnel_nonteach_asp3_actual_m">'[1]IV. Table 1'!$R$22</definedName>
    <definedName name="personnel_nonteach_asp3_brrwdplantilla">'[1]IV. Table 1'!$AL$22</definedName>
    <definedName name="personnel_nonteach_asp3_onleave">'[1]IV. Table 1'!$AD$22</definedName>
    <definedName name="personnel_nonteach_assp_actual_f">'[1]IV. Table 1'!$V$25</definedName>
    <definedName name="personnel_nonteach_assp_actual_f_shs">'[1]IV. Table 3'!$V$25</definedName>
    <definedName name="personnel_nonteach_assp_actual_m">'[1]IV. Table 1'!$R$25</definedName>
    <definedName name="personnel_nonteach_assp_actual_m_shs">'[1]IV. Table 3'!$R$25</definedName>
    <definedName name="personnel_nonteach_assp_borrowed_es">'[1]IV. Table 2'!$BF$27</definedName>
    <definedName name="personnel_nonteach_assp_borrowed_jhs">'[1]IV. Table 2'!$BJ$27</definedName>
    <definedName name="personnel_nonteach_assp_borrowed_odo">'[1]IV. Table 2'!$BR$27</definedName>
    <definedName name="personnel_nonteach_assp_borrowed_shs">'[1]IV. Table 2'!$BN$27</definedName>
    <definedName name="personnel_nonteach_assp_brrwdplantilla">'[1]IV. Table 1'!$AL$25</definedName>
    <definedName name="personnel_nonteach_assp_brrwdplantilla_shs">'[1]IV. Table 3'!$AL$25</definedName>
    <definedName name="personnel_nonteach_assp_detailed_es">'[1]IV. Table 2'!$AP$27</definedName>
    <definedName name="personnel_nonteach_assp_detailed_hs">'[1]IV. Table 2'!$AL$27</definedName>
    <definedName name="personnel_nonteach_assp_detailed_outdiv">'[1]IV. Table 2'!$AT$27</definedName>
    <definedName name="personnel_nonteach_assp_onleave">'[1]IV. Table 1'!$AD$25</definedName>
    <definedName name="personnel_nonteach_assp_onleave_shs">'[1]IV. Table 3'!$AD$25</definedName>
    <definedName name="personnel_nonteach_assp_vacant">'[1]IV. Table 2'!$AH$27</definedName>
    <definedName name="personnel_nonteach_clerk_actual_f">'[1]IV. Table 1'!$V$45</definedName>
    <definedName name="personnel_nonteach_clerk_actual_f_shs">'[1]IV. Table 3'!$V$45</definedName>
    <definedName name="personnel_nonteach_clerk_actual_m">'[1]IV. Table 1'!$R$45</definedName>
    <definedName name="personnel_nonteach_clerk_actual_m_shs">'[1]IV. Table 3'!$R$45</definedName>
    <definedName name="personnel_nonteach_clerk_borrowed_es">'[1]IV. Table 2'!$BF$47</definedName>
    <definedName name="personnel_nonteach_clerk_borrowed_jhs">'[1]IV. Table 2'!$BJ$47</definedName>
    <definedName name="personnel_nonteach_clerk_borrowed_odo">'[1]IV. Table 2'!$BR$47</definedName>
    <definedName name="personnel_nonteach_clerk_borrowed_shs">'[1]IV. Table 2'!$BN$47</definedName>
    <definedName name="personnel_nonteach_clerk_brrwdplantilla">'[1]IV. Table 1'!$AL$45</definedName>
    <definedName name="personnel_nonteach_clerk_brrwdplantilla_shs">'[1]IV. Table 3'!$AL$45</definedName>
    <definedName name="personnel_nonteach_clerk_detailed_es">'[1]IV. Table 2'!$AP$47</definedName>
    <definedName name="personnel_nonteach_clerk_detailed_hs">'[1]IV. Table 2'!$AL$47</definedName>
    <definedName name="personnel_nonteach_clerk_detailed_outdiv">'[1]IV. Table 2'!$AT$47</definedName>
    <definedName name="personnel_nonteach_clerk_onleave">'[1]IV. Table 1'!$AD$45</definedName>
    <definedName name="personnel_nonteach_clerk_onleave_shs">'[1]IV. Table 3'!$AD$45</definedName>
    <definedName name="personnel_nonteach_clerk_vacant">'[1]IV. Table 2'!$AH$47</definedName>
    <definedName name="personnel_nonteach_cmt_actual_f_shs">'[1]IV. Table 3'!$V$42</definedName>
    <definedName name="personnel_nonteach_cmt_actual_m_shs">'[1]IV. Table 3'!$R$42</definedName>
    <definedName name="personnel_nonteach_cmt_borrowed_es">'[1]IV. Table 2'!$BF$44</definedName>
    <definedName name="personnel_nonteach_cmt_borrowed_jhs">'[1]IV. Table 2'!$BJ$44</definedName>
    <definedName name="personnel_nonteach_cmt_borrowed_odo">'[1]IV. Table 2'!$BR$44</definedName>
    <definedName name="personnel_nonteach_cmt_borrowed_shs">'[1]IV. Table 2'!$BN$44</definedName>
    <definedName name="personnel_nonteach_cmt_brrwdplantilla_shs">'[1]IV. Table 3'!$AL$42</definedName>
    <definedName name="personnel_nonteach_cmt_detailed_es">'[1]IV. Table 2'!$AP$44</definedName>
    <definedName name="personnel_nonteach_cmt_detailed_hs">'[1]IV. Table 2'!$AL$44</definedName>
    <definedName name="personnel_nonteach_cmt_detailed_outdiv">'[1]IV. Table 2'!$AT$44</definedName>
    <definedName name="personnel_nonteach_cmt_I_actual_f">'[1]IV. Table 1'!$V$42</definedName>
    <definedName name="personnel_nonteach_cmt_I_actual_m">'[1]IV. Table 1'!$R$42</definedName>
    <definedName name="personnel_nonteach_cmt_I_brrwdplantilla">'[1]IV. Table 1'!$AL$42</definedName>
    <definedName name="personnel_nonteach_cmt_I_onleave">'[1]IV. Table 1'!$AD$42</definedName>
    <definedName name="personnel_nonteach_cmt_onleave_shs">'[1]IV. Table 3'!$AD$42</definedName>
    <definedName name="personnel_nonteach_cmt_vacant">'[1]IV. Table 2'!$AH$44</definedName>
    <definedName name="personnel_nonteach_disbofficer_actual_f">'[1]IV. Table 1'!$V$44</definedName>
    <definedName name="personnel_nonteach_disbofficer_actual_m">'[1]IV. Table 1'!$R$44</definedName>
    <definedName name="personnel_nonteach_disbofficer_brrwdplantilla">'[1]IV. Table 1'!$AL$44</definedName>
    <definedName name="personnel_nonteach_disbofficer_onleave">'[1]IV. Table 1'!$AD$44</definedName>
    <definedName name="personnel_nonteach_disbursingofcr2_actual_f">'[1]IV. Table 3'!$V$44</definedName>
    <definedName name="personnel_nonteach_disbursingofcr2_actual_m">'[1]IV. Table 3'!$R$44</definedName>
    <definedName name="personnel_nonteach_disbursingofcr2_borrowed_es">'[1]IV. Table 2'!$BF$46</definedName>
    <definedName name="personnel_nonteach_disbursingofcr2_borrowed_jhs">'[1]IV. Table 2'!$BJ$46</definedName>
    <definedName name="personnel_nonteach_disbursingofcr2_borrowed_odo">'[1]IV. Table 2'!$BR$46</definedName>
    <definedName name="personnel_nonteach_disbursingofcr2_borrowed_shs">'[1]IV. Table 2'!$BN$46</definedName>
    <definedName name="personnel_nonteach_disbursingofcr2_brrwdplantilla_shs">'[1]IV. Table 3'!$AL$44</definedName>
    <definedName name="personnel_nonteach_disbursingofcr2_detailed_es">'[1]IV. Table 2'!$AP$46</definedName>
    <definedName name="personnel_nonteach_disbursingofcr2_detailed_hs">'[1]IV. Table 2'!$AL$46</definedName>
    <definedName name="personnel_nonteach_disbursingofcr2_detailed_outdiv">'[1]IV. Table 2'!$AT$46</definedName>
    <definedName name="personnel_nonteach_disbursingofcr2_onleave">'[1]IV. Table 3'!$AD$44</definedName>
    <definedName name="personnel_nonteach_disbursingofcr2_vacant">'[1]IV. Table 2'!$AH$46</definedName>
    <definedName name="personnel_nonteach_guidancecoor_I_actual_f">'[1]IV. Table 1'!$V$34</definedName>
    <definedName name="personnel_nonteach_guidancecoor_I_actual_m">'[1]IV. Table 1'!$R$34</definedName>
    <definedName name="personnel_nonteach_guidancecoor_I_brrwdplantilla">'[1]IV. Table 1'!$AL$34</definedName>
    <definedName name="personnel_nonteach_guidancecoor_I_onleave">'[1]IV. Table 1'!$AD$34</definedName>
    <definedName name="personnel_nonteach_guidancecoor_II_actual_f">'[1]IV. Table 1'!$V$33</definedName>
    <definedName name="personnel_nonteach_guidancecoor_II_actual_m">'[1]IV. Table 1'!$R$33</definedName>
    <definedName name="personnel_nonteach_guidancecoor_II_brrwdplantilla">'[1]IV. Table 1'!$AL$33</definedName>
    <definedName name="personnel_nonteach_guidancecoor_II_onleave">'[1]IV. Table 1'!$AD$33</definedName>
    <definedName name="personnel_nonteach_guidancecoor_III_actual_f">'[1]IV. Table 1'!$V$32</definedName>
    <definedName name="personnel_nonteach_guidancecoor_III_actual_m">'[1]IV. Table 1'!$R$32</definedName>
    <definedName name="personnel_nonteach_guidancecoor_III_brrwdplantilla">'[1]IV. Table 1'!$AL$32</definedName>
    <definedName name="personnel_nonteach_guidancecoor_III_onleave">'[1]IV. Table 1'!$AD$32</definedName>
    <definedName name="personnel_nonteach_guidancecoor1_actual_f">'[1]IV. Table 3'!$V$34</definedName>
    <definedName name="personnel_nonteach_guidancecoor1_actual_m">'[1]IV. Table 3'!$R$34</definedName>
    <definedName name="personnel_nonteach_guidancecoor1_borrowed_es">'[1]IV. Table 2'!$BF$36</definedName>
    <definedName name="personnel_nonteach_guidancecoor1_borrowed_jhs">'[1]IV. Table 2'!$BJ$36</definedName>
    <definedName name="personnel_nonteach_guidancecoor1_borrowed_odo">'[1]IV. Table 2'!$BR$36</definedName>
    <definedName name="personnel_nonteach_guidancecoor1_borrowed_shs">'[1]IV. Table 2'!$BN$36</definedName>
    <definedName name="personnel_nonteach_guidancecoor1_brrwdplantilla_shs">'[1]IV. Table 3'!$AL$34</definedName>
    <definedName name="personnel_nonteach_guidancecoor1_detailed_es">'[1]IV. Table 2'!$AP$36</definedName>
    <definedName name="personnel_nonteach_guidancecoor1_detailed_hs">'[1]IV. Table 2'!$AL$36</definedName>
    <definedName name="personnel_nonteach_guidancecoor1_detailed_outdiv">'[1]IV. Table 2'!$AT$36</definedName>
    <definedName name="personnel_nonteach_guidancecoor1_onleave">'[1]IV. Table 3'!$AD$34</definedName>
    <definedName name="personnel_nonteach_guidancecoor1_vacant">'[1]IV. Table 2'!$AH$36</definedName>
    <definedName name="personnel_nonteach_guidancecoor2_actual_f">'[1]IV. Table 3'!$V$33</definedName>
    <definedName name="personnel_nonteach_guidancecoor2_actual_m">'[1]IV. Table 3'!$R$33</definedName>
    <definedName name="personnel_nonteach_guidancecoor2_borrowed_es">'[1]IV. Table 2'!$BF$35</definedName>
    <definedName name="personnel_nonteach_guidancecoor2_borrowed_jhs">'[1]IV. Table 2'!$BJ$35</definedName>
    <definedName name="personnel_nonteach_guidancecoor2_borrowed_odo">'[1]IV. Table 2'!$BR$35</definedName>
    <definedName name="personnel_nonteach_guidancecoor2_borrowed_shs">'[1]IV. Table 2'!$BN$35</definedName>
    <definedName name="personnel_nonteach_guidancecoor2_brrwdplantilla_shs">'[1]IV. Table 3'!$AL$33</definedName>
    <definedName name="personnel_nonteach_guidancecoor2_detailed_es">'[1]IV. Table 2'!$AP$35</definedName>
    <definedName name="personnel_nonteach_guidancecoor2_detailed_hs">'[1]IV. Table 2'!$AL$35</definedName>
    <definedName name="personnel_nonteach_guidancecoor2_detailed_outdiv">'[1]IV. Table 2'!$AT$35</definedName>
    <definedName name="personnel_nonteach_guidancecoor2_onleave">'[1]IV. Table 3'!$AD$33</definedName>
    <definedName name="personnel_nonteach_guidancecoor2_vacant">'[1]IV. Table 2'!$AH$35</definedName>
    <definedName name="personnel_nonteach_guidancecoor3_actual_f">'[1]IV. Table 3'!$V$32</definedName>
    <definedName name="personnel_nonteach_guidancecoor3_actual_m">'[1]IV. Table 3'!$R$32</definedName>
    <definedName name="personnel_nonteach_guidancecoor3_borrowed_es">'[1]IV. Table 2'!$BF$34</definedName>
    <definedName name="personnel_nonteach_guidancecoor3_borrowed_jhs">'[1]IV. Table 2'!$BJ$34</definedName>
    <definedName name="personnel_nonteach_guidancecoor3_borrowed_odo">'[1]IV. Table 2'!$BR$34</definedName>
    <definedName name="personnel_nonteach_guidancecoor3_borrowed_shs">'[1]IV. Table 2'!$BN$34</definedName>
    <definedName name="personnel_nonteach_guidancecoor3_brrwdplantilla_shs">'[1]IV. Table 3'!$AL$32</definedName>
    <definedName name="personnel_nonteach_guidancecoor3_detailed_es">'[1]IV. Table 2'!$AP$34</definedName>
    <definedName name="personnel_nonteach_guidancecoor3_detailed_hs">'[1]IV. Table 2'!$AL$34</definedName>
    <definedName name="personnel_nonteach_guidancecoor3_detailed_outdiv">'[1]IV. Table 2'!$AT$34</definedName>
    <definedName name="personnel_nonteach_guidancecoor3_onleave">'[1]IV. Table 3'!$AD$32</definedName>
    <definedName name="personnel_nonteach_guidancecoor3_vacant">'[1]IV. Table 2'!$AH$34</definedName>
    <definedName name="personnel_nonteach_guidancecounsel_I_actual_f">'[1]IV. Table 1'!$V$37</definedName>
    <definedName name="personnel_nonteach_guidancecounsel_I_actual_m">'[1]IV. Table 1'!$R$37</definedName>
    <definedName name="personnel_nonteach_guidancecounsel_I_brrwdplantilla">'[1]IV. Table 1'!$AL$37</definedName>
    <definedName name="personnel_nonteach_guidancecounsel_I_onleave">'[1]IV. Table 1'!$AD$37</definedName>
    <definedName name="personnel_nonteach_guidancecounsel_II_actual_f">'[1]IV. Table 1'!$V$36</definedName>
    <definedName name="personnel_nonteach_guidancecounsel_II_actual_m">'[1]IV. Table 1'!$R$36</definedName>
    <definedName name="personnel_nonteach_guidancecounsel_II_brrwdplantilla">'[1]IV. Table 1'!$AL$36</definedName>
    <definedName name="personnel_nonteach_guidancecounsel_II_onleave">'[1]IV. Table 1'!$AD$36</definedName>
    <definedName name="personnel_nonteach_guidancecounsel_III_actual_f">'[1]IV. Table 1'!$V$35</definedName>
    <definedName name="personnel_nonteach_guidancecounsel_III_actual_m">'[1]IV. Table 1'!$R$35</definedName>
    <definedName name="personnel_nonteach_guidancecounsel_III_brrwdplantilla">'[1]IV. Table 1'!$AL$35</definedName>
    <definedName name="personnel_nonteach_guidancecounsel_III_onleave">'[1]IV. Table 1'!$AD$35</definedName>
    <definedName name="personnel_nonteach_guidancecounsel1_actual_f">'[1]IV. Table 3'!$V$37</definedName>
    <definedName name="personnel_nonteach_guidancecounsel1_actual_m">'[1]IV. Table 3'!$R$37</definedName>
    <definedName name="personnel_nonteach_guidancecounsel1_borrowed_es">'[1]IV. Table 2'!$BF$39</definedName>
    <definedName name="personnel_nonteach_guidancecounsel1_borrowed_jhs">'[1]IV. Table 2'!$BJ$39</definedName>
    <definedName name="personnel_nonteach_guidancecounsel1_borrowed_odo">'[1]IV. Table 2'!$BR$39</definedName>
    <definedName name="personnel_nonteach_guidancecounsel1_borrowed_shs">'[1]IV. Table 2'!$BN$39</definedName>
    <definedName name="personnel_nonteach_guidancecounsel1_brrwdplantilla_shs">'[1]IV. Table 3'!$AL$37</definedName>
    <definedName name="personnel_nonteach_guidancecounsel1_detailed_es">'[1]IV. Table 2'!$AP$39</definedName>
    <definedName name="personnel_nonteach_guidancecounsel1_detailed_hs">'[1]IV. Table 2'!$AL$39</definedName>
    <definedName name="personnel_nonteach_guidancecounsel1_detailed_outdiv">'[1]IV. Table 2'!$AT$39</definedName>
    <definedName name="personnel_nonteach_guidancecounsel1_onleave">'[1]IV. Table 3'!$AD$37</definedName>
    <definedName name="personnel_nonteach_guidancecounsel1_vacant">'[1]IV. Table 2'!$AH$39</definedName>
    <definedName name="personnel_nonteach_guidancecounsel2_actual_f">'[1]IV. Table 3'!$V$36</definedName>
    <definedName name="personnel_nonteach_guidancecounsel2_actual_m">'[1]IV. Table 3'!$R$36</definedName>
    <definedName name="personnel_nonteach_guidancecounsel2_borrowed_es">'[1]IV. Table 2'!$BF$38</definedName>
    <definedName name="personnel_nonteach_guidancecounsel2_borrowed_jhs">'[1]IV. Table 2'!$BJ$38</definedName>
    <definedName name="personnel_nonteach_guidancecounsel2_borrowed_odo">'[1]IV. Table 2'!$BR$38</definedName>
    <definedName name="personnel_nonteach_guidancecounsel2_borrowed_shs">'[1]IV. Table 2'!$BN$38</definedName>
    <definedName name="personnel_nonteach_guidancecounsel2_brrwdplantilla_shs">'[1]IV. Table 3'!$AL$36</definedName>
    <definedName name="personnel_nonteach_guidancecounsel2_detailed_es">'[1]IV. Table 2'!$AP$38</definedName>
    <definedName name="personnel_nonteach_guidancecounsel2_detailed_hs">'[1]IV. Table 2'!$AL$38</definedName>
    <definedName name="personnel_nonteach_guidancecounsel2_detailed_outdiv">'[1]IV. Table 2'!$AT$38</definedName>
    <definedName name="personnel_nonteach_guidancecounsel2_onleave">'[1]IV. Table 3'!$AD$36</definedName>
    <definedName name="personnel_nonteach_guidancecounsel2_vacant">'[1]IV. Table 2'!$AH$38</definedName>
    <definedName name="personnel_nonteach_guidancecounsel3_actual_f">'[1]IV. Table 3'!$V$35</definedName>
    <definedName name="personnel_nonteach_guidancecounsel3_actual_m">'[1]IV. Table 3'!$R$35</definedName>
    <definedName name="personnel_nonteach_guidancecounsel3_borrowed_es">'[1]IV. Table 2'!$BF$37</definedName>
    <definedName name="personnel_nonteach_guidancecounsel3_borrowed_jhs">'[1]IV. Table 2'!$BJ$37</definedName>
    <definedName name="personnel_nonteach_guidancecounsel3_borrowed_odo">'[1]IV. Table 2'!$BR$37</definedName>
    <definedName name="personnel_nonteach_guidancecounsel3_borrowed_shs">'[1]IV. Table 2'!$BN$37</definedName>
    <definedName name="personnel_nonteach_guidancecounsel3_brrwdplantilla_shs">'[1]IV. Table 3'!$AL$35</definedName>
    <definedName name="personnel_nonteach_guidancecounsel3_detailed_es">'[1]IV. Table 2'!$AP$37</definedName>
    <definedName name="personnel_nonteach_guidancecounsel3_detailed_hs">'[1]IV. Table 2'!$AL$37</definedName>
    <definedName name="personnel_nonteach_guidancecounsel3_detailed_outdiv">'[1]IV. Table 2'!$AT$37</definedName>
    <definedName name="personnel_nonteach_guidancecounsel3_onleave">'[1]IV. Table 3'!$AD$35</definedName>
    <definedName name="personnel_nonteach_guidancecounsel3_vacant">'[1]IV. Table 2'!$AH$37</definedName>
    <definedName name="personnel_nonteach_ht1_actual_f">'[1]IV. Table 1'!$V$31</definedName>
    <definedName name="personnel_nonteach_ht1_actual_f_shs">'[1]IV. Table 3'!$V$31</definedName>
    <definedName name="personnel_nonteach_ht1_actual_m">'[1]IV. Table 1'!$R$31</definedName>
    <definedName name="personnel_nonteach_ht1_actual_m_shs">'[1]IV. Table 3'!$R$31</definedName>
    <definedName name="personnel_nonteach_ht1_borrowed_es">'[1]IV. Table 2'!$BF$33</definedName>
    <definedName name="personnel_nonteach_ht1_borrowed_jhs">'[1]IV. Table 2'!$BJ$33</definedName>
    <definedName name="personnel_nonteach_ht1_borrowed_odo">'[1]IV. Table 2'!$BR$33</definedName>
    <definedName name="personnel_nonteach_ht1_borrowed_shs">'[1]IV. Table 2'!$BN$33</definedName>
    <definedName name="personnel_nonteach_ht1_brrwdplantilla">'[1]IV. Table 1'!$AL$31</definedName>
    <definedName name="personnel_nonteach_ht1_brrwdplantilla_shs">'[1]IV. Table 3'!$AL$31</definedName>
    <definedName name="personnel_nonteach_ht1_detailed_es">'[1]IV. Table 2'!$AP$33</definedName>
    <definedName name="personnel_nonteach_ht1_detailed_hs">'[1]IV. Table 2'!$AL$33</definedName>
    <definedName name="personnel_nonteach_ht1_detailed_outdiv">'[1]IV. Table 2'!$AT$33</definedName>
    <definedName name="personnel_nonteach_ht1_onleave">'[1]IV. Table 1'!$AD$31</definedName>
    <definedName name="personnel_nonteach_ht1_onleave_shs">'[1]IV. Table 3'!$AD$31</definedName>
    <definedName name="personnel_nonteach_ht1_vacant">'[1]IV. Table 2'!$AH$33</definedName>
    <definedName name="personnel_nonteach_ht2_actual_f">'[1]IV. Table 1'!$V$30</definedName>
    <definedName name="personnel_nonteach_ht2_actual_f_shs">'[1]IV. Table 3'!$V$30</definedName>
    <definedName name="personnel_nonteach_ht2_actual_m">'[1]IV. Table 1'!$R$30</definedName>
    <definedName name="personnel_nonteach_ht2_actual_m_shs">'[1]IV. Table 3'!$R$30</definedName>
    <definedName name="personnel_nonteach_ht2_borrowed_es">'[1]IV. Table 2'!$BF$32</definedName>
    <definedName name="personnel_nonteach_ht2_borrowed_jhs">'[1]IV. Table 2'!$BJ$32</definedName>
    <definedName name="personnel_nonteach_ht2_borrowed_odo">'[1]IV. Table 2'!$BR$32</definedName>
    <definedName name="personnel_nonteach_ht2_borrowed_shs">'[1]IV. Table 2'!$BN$32</definedName>
    <definedName name="personnel_nonteach_ht2_brrwdplantilla">'[1]IV. Table 1'!$AL$30</definedName>
    <definedName name="personnel_nonteach_ht2_brrwdplantilla_shs">'[1]IV. Table 3'!$AL$30</definedName>
    <definedName name="personnel_nonteach_ht2_detailed_es">'[1]IV. Table 2'!$AP$32</definedName>
    <definedName name="personnel_nonteach_ht2_detailed_hs">'[1]IV. Table 2'!$AL$32</definedName>
    <definedName name="personnel_nonteach_ht2_detailed_outdiv">'[1]IV. Table 2'!$AT$32</definedName>
    <definedName name="personnel_nonteach_ht2_onleave">'[1]IV. Table 1'!$AD$30</definedName>
    <definedName name="personnel_nonteach_ht2_onleave_shs">'[1]IV. Table 3'!$AD$30</definedName>
    <definedName name="personnel_nonteach_ht2_vacant">'[1]IV. Table 2'!$AH$32</definedName>
    <definedName name="personnel_nonteach_ht3_actual_f">'[1]IV. Table 1'!$V$29</definedName>
    <definedName name="personnel_nonteach_ht3_actual_f_shs">'[1]IV. Table 3'!$V$29</definedName>
    <definedName name="personnel_nonteach_ht3_actual_m">'[1]IV. Table 1'!$R$29</definedName>
    <definedName name="personnel_nonteach_ht3_actual_m_shs">'[1]IV. Table 3'!$R$29</definedName>
    <definedName name="personnel_nonteach_ht3_borrowed_es">'[1]IV. Table 2'!$BF$31</definedName>
    <definedName name="personnel_nonteach_ht3_borrowed_jhs">'[1]IV. Table 2'!$BJ$31</definedName>
    <definedName name="personnel_nonteach_ht3_borrowed_odo">'[1]IV. Table 2'!$BR$31</definedName>
    <definedName name="personnel_nonteach_ht3_borrowed_shs">'[1]IV. Table 2'!$BN$31</definedName>
    <definedName name="personnel_nonteach_ht3_brrwdplantilla">'[1]IV. Table 1'!$AL$29</definedName>
    <definedName name="personnel_nonteach_ht3_brrwdplantilla_shs">'[1]IV. Table 3'!$AL$29</definedName>
    <definedName name="personnel_nonteach_ht3_detailed_es">'[1]IV. Table 2'!$AP$31</definedName>
    <definedName name="personnel_nonteach_ht3_detailed_hs">'[1]IV. Table 2'!$AL$31</definedName>
    <definedName name="personnel_nonteach_ht3_detailed_outdiv">'[1]IV. Table 2'!$AT$31</definedName>
    <definedName name="personnel_nonteach_ht3_onleave">'[1]IV. Table 1'!$AD$29</definedName>
    <definedName name="personnel_nonteach_ht3_onleave_shs">'[1]IV. Table 3'!$AD$29</definedName>
    <definedName name="personnel_nonteach_ht3_vacant">'[1]IV. Table 2'!$AH$31</definedName>
    <definedName name="personnel_nonteach_ht4_actual_f">'[1]IV. Table 1'!$V$28</definedName>
    <definedName name="personnel_nonteach_ht4_actual_f_shs">'[1]IV. Table 3'!$V$28</definedName>
    <definedName name="personnel_nonteach_ht4_actual_m">'[1]IV. Table 1'!$R$28</definedName>
    <definedName name="personnel_nonteach_ht4_actual_m_shs">'[1]IV. Table 3'!$R$28</definedName>
    <definedName name="personnel_nonteach_ht4_borrowed_es">'[1]IV. Table 2'!$BF$30</definedName>
    <definedName name="personnel_nonteach_ht4_borrowed_jhs">'[1]IV. Table 2'!$BJ$30</definedName>
    <definedName name="personnel_nonteach_ht4_borrowed_odo">'[1]IV. Table 2'!$BR$30</definedName>
    <definedName name="personnel_nonteach_ht4_borrowed_shs">'[1]IV. Table 2'!$BN$30</definedName>
    <definedName name="personnel_nonteach_ht4_brrwdplantilla">'[1]IV. Table 1'!$AL$28</definedName>
    <definedName name="personnel_nonteach_ht4_brrwdplantilla_shs">'[1]IV. Table 3'!$AL$28</definedName>
    <definedName name="personnel_nonteach_ht4_detailed_es">'[1]IV. Table 2'!$AP$30</definedName>
    <definedName name="personnel_nonteach_ht4_detailed_hs">'[1]IV. Table 2'!$AL$30</definedName>
    <definedName name="personnel_nonteach_ht4_detailed_outdiv">'[1]IV. Table 2'!$AT$30</definedName>
    <definedName name="personnel_nonteach_ht4_onleave">'[1]IV. Table 1'!$AD$28</definedName>
    <definedName name="personnel_nonteach_ht4_onleave_shs">'[1]IV. Table 3'!$AD$28</definedName>
    <definedName name="personnel_nonteach_ht4_vacant">'[1]IV. Table 2'!$AH$30</definedName>
    <definedName name="personnel_nonteach_ht5_actual_f">'[1]IV. Table 1'!$V$27</definedName>
    <definedName name="personnel_nonteach_ht5_actual_f_shs">'[1]IV. Table 3'!$V$27</definedName>
    <definedName name="personnel_nonteach_ht5_actual_m">'[1]IV. Table 1'!$R$27</definedName>
    <definedName name="personnel_nonteach_ht5_actual_m_shs">'[1]IV. Table 3'!$R$27</definedName>
    <definedName name="personnel_nonteach_ht5_borrowed_es">'[1]IV. Table 2'!$BF$29</definedName>
    <definedName name="personnel_nonteach_ht5_borrowed_jhs">'[1]IV. Table 2'!$BJ$29</definedName>
    <definedName name="personnel_nonteach_ht5_borrowed_odo">'[1]IV. Table 2'!$BR$29</definedName>
    <definedName name="personnel_nonteach_ht5_borrowed_shs">'[1]IV. Table 2'!$BN$29</definedName>
    <definedName name="personnel_nonteach_ht5_brrwdplantilla">'[1]IV. Table 1'!$AL$27</definedName>
    <definedName name="personnel_nonteach_ht5_brrwdplantilla_shs">'[1]IV. Table 3'!$AL$27</definedName>
    <definedName name="personnel_nonteach_ht5_detailed_es">'[1]IV. Table 2'!$AP$29</definedName>
    <definedName name="personnel_nonteach_ht5_detailed_hs">'[1]IV. Table 2'!$AL$29</definedName>
    <definedName name="personnel_nonteach_ht5_detailed_outdiv">'[1]IV. Table 2'!$AT$29</definedName>
    <definedName name="personnel_nonteach_ht5_onleave">'[1]IV. Table 1'!$AD$27</definedName>
    <definedName name="personnel_nonteach_ht5_onleave_shs">'[1]IV. Table 3'!$AD$27</definedName>
    <definedName name="personnel_nonteach_ht5_vacant">'[1]IV. Table 2'!$AH$29</definedName>
    <definedName name="personnel_nonteach_ht6_actual_f">'[1]IV. Table 1'!$V$26</definedName>
    <definedName name="personnel_nonteach_ht6_actual_f_shs">'[1]IV. Table 3'!$V$26</definedName>
    <definedName name="personnel_nonteach_ht6_actual_m">'[1]IV. Table 1'!$R$26</definedName>
    <definedName name="personnel_nonteach_ht6_actual_m_shs">'[1]IV. Table 3'!$R$26</definedName>
    <definedName name="personnel_nonteach_ht6_borrowed_es">'[1]IV. Table 2'!$BF$28</definedName>
    <definedName name="personnel_nonteach_ht6_borrowed_jhs">'[1]IV. Table 2'!$BJ$28</definedName>
    <definedName name="personnel_nonteach_ht6_borrowed_odo">'[1]IV. Table 2'!$BR$28</definedName>
    <definedName name="personnel_nonteach_ht6_borrowed_shs">'[1]IV. Table 2'!$BN$28</definedName>
    <definedName name="personnel_nonteach_ht6_brrwdplantilla">'[1]IV. Table 1'!$AL$26</definedName>
    <definedName name="personnel_nonteach_ht6_brrwdplantilla_shs">'[1]IV. Table 3'!$AL$26</definedName>
    <definedName name="personnel_nonteach_ht6_detailed_es">'[1]IV. Table 2'!$AP$28</definedName>
    <definedName name="personnel_nonteach_ht6_detailed_hs">'[1]IV. Table 2'!$AL$28</definedName>
    <definedName name="personnel_nonteach_ht6_detailed_outdiv">'[1]IV. Table 2'!$AT$28</definedName>
    <definedName name="personnel_nonteach_ht6_onleave">'[1]IV. Table 1'!$AD$26</definedName>
    <definedName name="personnel_nonteach_ht6_onleave_shs">'[1]IV. Table 3'!$AD$26</definedName>
    <definedName name="personnel_nonteach_ht6_vacant">'[1]IV. Table 2'!$AH$28</definedName>
    <definedName name="personnel_nonteach_nfp_spi_assp_actual_f">'[1]IV. Table 2'!$V$27</definedName>
    <definedName name="personnel_nonteach_nfp_spi_assp_actual_m">'[1]IV. Table 2'!$R$27</definedName>
    <definedName name="personnel_nonteach_nfp_spi_assp_onleave">'[1]IV. Table 2'!$AD$27</definedName>
    <definedName name="personnel_nonteach_nfp_spi_clerk_actual_f">'[1]IV. Table 2'!$V$47</definedName>
    <definedName name="personnel_nonteach_nfp_spi_clerk_actual_m">'[1]IV. Table 2'!$R$47</definedName>
    <definedName name="personnel_nonteach_nfp_spi_clerk_onleave">'[1]IV. Table 2'!$AD$47</definedName>
    <definedName name="personnel_nonteach_nfp_spi_cmt_I_actual_f">'[1]IV. Table 2'!$V$44</definedName>
    <definedName name="personnel_nonteach_nfp_spi_cmt_I_actual_m">'[1]IV. Table 2'!$R$44</definedName>
    <definedName name="personnel_nonteach_nfp_spi_cmt_I_onleave">'[1]IV. Table 2'!$AD$44</definedName>
    <definedName name="personnel_nonteach_nfp_spi_disbofficer_actual_f">'[1]IV. Table 2'!$V$46</definedName>
    <definedName name="personnel_nonteach_nfp_spi_disbofficer_actual_m">'[1]IV. Table 2'!$R$46</definedName>
    <definedName name="personnel_nonteach_nfp_spi_disbofficer_onleave">'[1]IV. Table 2'!$AD$46</definedName>
    <definedName name="personnel_nonteach_nfp_spi_guidancecoor_I_actual_f">'[1]IV. Table 2'!$V$36</definedName>
    <definedName name="personnel_nonteach_nfp_spi_guidancecoor_I_actual_m">'[1]IV. Table 2'!$R$36</definedName>
    <definedName name="personnel_nonteach_nfp_spi_guidancecoor_I_onleave">'[1]IV. Table 2'!$AD$36</definedName>
    <definedName name="personnel_nonteach_nfp_spi_guidancecoor_II_actual_f">'[1]IV. Table 2'!$V$35</definedName>
    <definedName name="personnel_nonteach_nfp_spi_guidancecoor_II_actual_m">'[1]IV. Table 2'!$R$35</definedName>
    <definedName name="personnel_nonteach_nfp_spi_guidancecoor_II_onleave">'[1]IV. Table 2'!$AD$35</definedName>
    <definedName name="personnel_nonteach_nfp_spi_guidancecoor_III_actual_f">'[1]IV. Table 2'!$V$34</definedName>
    <definedName name="personnel_nonteach_nfp_spi_guidancecoor_III_actual_m">'[1]IV. Table 2'!$R$34</definedName>
    <definedName name="personnel_nonteach_nfp_spi_guidancecoor_III_onleave">'[1]IV. Table 2'!$AD$34</definedName>
    <definedName name="personnel_nonteach_nfp_spi_guidancecounsel_I_actual_f">'[1]IV. Table 2'!$V$39</definedName>
    <definedName name="personnel_nonteach_nfp_spi_guidancecounsel_I_actual_m">'[1]IV. Table 2'!$R$39</definedName>
    <definedName name="personnel_nonteach_nfp_spi_guidancecounsel_I_onleave">'[1]IV. Table 2'!$AD$39</definedName>
    <definedName name="personnel_nonteach_nfp_spi_guidancecounsel_II_actual_f">'[1]IV. Table 2'!$V$38</definedName>
    <definedName name="personnel_nonteach_nfp_spi_guidancecounsel_II_actual_m">'[1]IV. Table 2'!$R$38</definedName>
    <definedName name="personnel_nonteach_nfp_spi_guidancecounsel_II_onleave">'[1]IV. Table 2'!$AD$38</definedName>
    <definedName name="personnel_nonteach_nfp_spi_guidancecounsel_III_actual_f">'[1]IV. Table 2'!$V$37</definedName>
    <definedName name="personnel_nonteach_nfp_spi_guidancecounsel_III_actual_m">'[1]IV. Table 2'!$R$37</definedName>
    <definedName name="personnel_nonteach_nfp_spi_guidancecounsel_III_onleave">'[1]IV. Table 2'!$AD$37</definedName>
    <definedName name="personnel_nonteach_nfp_spi_ht1_actual_f">'[1]IV. Table 2'!$V$33</definedName>
    <definedName name="personnel_nonteach_nfp_spi_ht1_actual_m">'[1]IV. Table 2'!$R$33</definedName>
    <definedName name="personnel_nonteach_nfp_spi_ht1_onleave">'[1]IV. Table 2'!$AD$33</definedName>
    <definedName name="personnel_nonteach_nfp_spi_ht2_actual_f">'[1]IV. Table 2'!$V$32</definedName>
    <definedName name="personnel_nonteach_nfp_spi_ht2_actual_m">'[1]IV. Table 2'!$R$32</definedName>
    <definedName name="personnel_nonteach_nfp_spi_ht2_onleave">'[1]IV. Table 2'!$AD$32</definedName>
    <definedName name="personnel_nonteach_nfp_spi_ht3_actual_f">'[1]IV. Table 2'!$V$31</definedName>
    <definedName name="personnel_nonteach_nfp_spi_ht3_actual_m">'[1]IV. Table 2'!$R$31</definedName>
    <definedName name="personnel_nonteach_nfp_spi_ht3_onleave">'[1]IV. Table 2'!$AD$31</definedName>
    <definedName name="personnel_nonteach_nfp_spi_ht4_actual_f">'[1]IV. Table 2'!$V$30</definedName>
    <definedName name="personnel_nonteach_nfp_spi_ht4_actual_m">'[1]IV. Table 2'!$R$30</definedName>
    <definedName name="personnel_nonteach_nfp_spi_ht4_onleave">'[1]IV. Table 2'!$AD$30</definedName>
    <definedName name="personnel_nonteach_nfp_spi_ht5_actual_f">'[1]IV. Table 2'!$V$29</definedName>
    <definedName name="personnel_nonteach_nfp_spi_ht5_actual_m">'[1]IV. Table 2'!$R$29</definedName>
    <definedName name="personnel_nonteach_nfp_spi_ht5_onleave">'[1]IV. Table 2'!$AD$29</definedName>
    <definedName name="personnel_nonteach_nfp_spi_ht6_actual_f">'[1]IV. Table 2'!$V$28</definedName>
    <definedName name="personnel_nonteach_nfp_spi_ht6_actual_m">'[1]IV. Table 2'!$R$28</definedName>
    <definedName name="personnel_nonteach_nfp_spi_ht6_onleave">'[1]IV. Table 2'!$AD$28</definedName>
    <definedName name="personnel_nonteach_nfp_spi_pdo_I_actual_f">'[1]IV. Table 2'!$V$43</definedName>
    <definedName name="personnel_nonteach_nfp_spi_pdo_I_actual_m">'[1]IV. Table 2'!$R$43</definedName>
    <definedName name="personnel_nonteach_nfp_spi_pdo_I_onleave">'[1]IV. Table 2'!$AD$43</definedName>
    <definedName name="personnel_nonteach_nfp_spi_registrar1_actual_f">'[1]IV. Table 2'!$V$40</definedName>
    <definedName name="personnel_nonteach_nfp_spi_registrar1_actual_m">'[1]IV. Table 2'!$R$40</definedName>
    <definedName name="personnel_nonteach_nfp_spi_registrar1_onleave">'[1]IV. Table 2'!$AD$40</definedName>
    <definedName name="personnel_nonteach_nfp_spi_securityguard_actual_f">'[1]IV. Table 2'!$V$48</definedName>
    <definedName name="personnel_nonteach_nfp_spi_securityguard_actual_m">'[1]IV. Table 2'!$R$48</definedName>
    <definedName name="personnel_nonteach_nfp_spi_securityguard_onleave">'[1]IV. Table 2'!$AD$48</definedName>
    <definedName name="personnel_nonteach_nfp_spi_seniorbk_actual_f">'[1]IV. Table 2'!$V$45</definedName>
    <definedName name="personnel_nonteach_nfp_spi_seniorbk_actual_m">'[1]IV. Table 2'!$R$45</definedName>
    <definedName name="personnel_nonteach_nfp_spi_seniorbk_onleave">'[1]IV. Table 2'!$AD$45</definedName>
    <definedName name="personnel_nonteach_nfp_spi_sp1_actual_f">'[1]IV. Table 2'!$V$21</definedName>
    <definedName name="personnel_nonteach_nfp_spi_sp1_actual_m">'[1]IV. Table 2'!$R$21</definedName>
    <definedName name="personnel_nonteach_nfp_spi_sp1_onleave">'[1]IV. Table 2'!$AD$21</definedName>
    <definedName name="personnel_nonteach_nfp_spi_sp2_actual_f">'[1]IV. Table 2'!$V$20</definedName>
    <definedName name="personnel_nonteach_nfp_spi_sp2_actual_m">'[1]IV. Table 2'!$R$20</definedName>
    <definedName name="personnel_nonteach_nfp_spi_sp2_onleave">'[1]IV. Table 2'!$AD$20</definedName>
    <definedName name="personnel_nonteach_nfp_spi_sp3_actual_f">'[1]IV. Table 2'!$V$19</definedName>
    <definedName name="personnel_nonteach_nfp_spi_sp3_actual_m">'[1]IV. Table 2'!$R$19</definedName>
    <definedName name="personnel_nonteach_nfp_spi_sp3_onleave">'[1]IV. Table 2'!$AD$19</definedName>
    <definedName name="personnel_nonteach_nfp_spi_sp4_actual_f">'[1]IV. Table 2'!$V$18</definedName>
    <definedName name="personnel_nonteach_nfp_spi_sp4_actual_m">'[1]IV. Table 2'!$R$18</definedName>
    <definedName name="personnel_nonteach_nfp_spi_sp4_onleave">'[1]IV. Table 2'!$AD$18</definedName>
    <definedName name="personnel_nonteach_nfp_spi_sp5_actual_f">'[1]IV. Table 2'!$V$17</definedName>
    <definedName name="personnel_nonteach_nfp_spi_sp5_actual_m">'[1]IV. Table 2'!$R$17</definedName>
    <definedName name="personnel_nonteach_nfp_spi_sp5_onleave">'[1]IV. Table 2'!$AD$17</definedName>
    <definedName name="personnel_nonteach_nfp_spi_ssp1_actual_f">'[1]IV. Table 2'!$V$23</definedName>
    <definedName name="personnel_nonteach_nfp_spi_ssp1_actual_m">'[1]IV. Table 2'!$R$23</definedName>
    <definedName name="personnel_nonteach_nfp_spi_ssp1_onleave">'[1]IV. Table 2'!$AD$23</definedName>
    <definedName name="personnel_nonteach_nfp_spi_ssp2_actual_f">'[1]IV. Table 2'!$V$22</definedName>
    <definedName name="personnel_nonteach_nfp_spi_ssp2_actual_m">'[1]IV. Table 2'!$R$22</definedName>
    <definedName name="personnel_nonteach_nfp_spi_ssp2_onleave">'[1]IV. Table 2'!$AD$22</definedName>
    <definedName name="personnel_nonteach_nfp_spi_utilityworkerI_actual_f">'[1]IV. Table 2'!$V$50</definedName>
    <definedName name="personnel_nonteach_nfp_spi_utilityworkerI_actual_m">'[1]IV. Table 2'!$R$50</definedName>
    <definedName name="personnel_nonteach_nfp_spi_utilityworkerI_onleave">'[1]IV. Table 2'!$AD$50</definedName>
    <definedName name="personnel_nonteach_nfp_spi_watchman_actual_f">'[1]IV. Table 2'!$V$49</definedName>
    <definedName name="personnel_nonteach_nfp_spi_watchman_actual_m">'[1]IV. Table 2'!$R$49</definedName>
    <definedName name="personnel_nonteach_nfp_spi_watchman_onleave">'[1]IV. Table 2'!$AD$49</definedName>
    <definedName name="personnel_nonteach_pdo_I_actual_f">'[1]IV. Table 1'!$V$41</definedName>
    <definedName name="personnel_nonteach_pdo_I_actual_m">'[1]IV. Table 1'!$R$41</definedName>
    <definedName name="personnel_nonteach_pdo_I_brrwdplantilla">'[1]IV. Table 1'!$AL$41</definedName>
    <definedName name="personnel_nonteach_pdo_I_onleave">'[1]IV. Table 1'!$AD$41</definedName>
    <definedName name="personnel_nonteach_pdo1_actual_f">'[1]IV. Table 3'!$V$41</definedName>
    <definedName name="personnel_nonteach_pdo1_actual_m">'[1]IV. Table 3'!$R$41</definedName>
    <definedName name="personnel_nonteach_pdo1_borrowed_es">'[1]IV. Table 2'!$BF$43</definedName>
    <definedName name="personnel_nonteach_pdo1_borrowed_jhs">'[1]IV. Table 2'!$BJ$43</definedName>
    <definedName name="personnel_nonteach_pdo1_borrowed_odo">'[1]IV. Table 2'!$BR$43</definedName>
    <definedName name="personnel_nonteach_pdo1_borrowed_shs">'[1]IV. Table 2'!$BN$43</definedName>
    <definedName name="personnel_nonteach_pdo1_brrwdplantilla_shs">'[1]IV. Table 3'!$AL$41</definedName>
    <definedName name="personnel_nonteach_pdo1_detailed_es">'[1]IV. Table 2'!$AP$43</definedName>
    <definedName name="personnel_nonteach_pdo1_detailed_hs">'[1]IV. Table 2'!$AL$43</definedName>
    <definedName name="personnel_nonteach_pdo1_detailed_outdiv">'[1]IV. Table 2'!$AT$43</definedName>
    <definedName name="personnel_nonteach_pdo1_onleave">'[1]IV. Table 3'!$AD$41</definedName>
    <definedName name="personnel_nonteach_pdo1_vacant">'[1]IV. Table 2'!$AH$43</definedName>
    <definedName name="personnel_nonteach_registrar_borrowed_es">'[1]IV. Table 2'!$BF$40</definedName>
    <definedName name="personnel_nonteach_registrar_borrowed_jhs">'[1]IV. Table 2'!$BJ$40</definedName>
    <definedName name="personnel_nonteach_registrar_borrowed_odo">'[1]IV. Table 2'!$BR$40</definedName>
    <definedName name="personnel_nonteach_registrar_borrowed_shs">'[1]IV. Table 2'!$BN$40</definedName>
    <definedName name="personnel_nonteach_registrar_detailed_es">'[1]IV. Table 2'!$AP$40</definedName>
    <definedName name="personnel_nonteach_registrar_detailed_hs">'[1]IV. Table 2'!$AL$40</definedName>
    <definedName name="personnel_nonteach_registrar_detailed_outdiv">'[1]IV. Table 2'!$AT$40</definedName>
    <definedName name="personnel_nonteach_registrar_vacant">'[1]IV. Table 2'!$AH$40</definedName>
    <definedName name="personnel_nonteach_registrar1_actual_f">'[1]IV. Table 1'!$V$38</definedName>
    <definedName name="personnel_nonteach_registrar1_actual_f_shs">'[1]IV. Table 3'!$V$38</definedName>
    <definedName name="personnel_nonteach_registrar1_actual_m">'[1]IV. Table 1'!$R$38</definedName>
    <definedName name="personnel_nonteach_registrar1_actual_m_shs">'[1]IV. Table 3'!$R$38</definedName>
    <definedName name="personnel_nonteach_registrar1_brrwdplantilla">'[1]IV. Table 1'!$AL$38</definedName>
    <definedName name="personnel_nonteach_registrar1_brrwdplantilla_shs">'[1]IV. Table 3'!$AL$38</definedName>
    <definedName name="personnel_nonteach_registrar1_onleave">'[1]IV. Table 1'!$AD$38</definedName>
    <definedName name="personnel_nonteach_registrar1_onleave_shs">'[1]IV. Table 3'!$AD$38</definedName>
    <definedName name="personnel_nonteach_sap1_actual_f">'[1]IV. Table 3'!$V$24</definedName>
    <definedName name="personnel_nonteach_sap1_actual_m">'[1]IV. Table 3'!$R$24</definedName>
    <definedName name="personnel_nonteach_sap1_brrwdplantilla_shs">'[1]IV. Table 3'!$AL$24</definedName>
    <definedName name="personnel_nonteach_sap1_onleave">'[1]IV. Table 3'!$AD$24</definedName>
    <definedName name="personnel_nonteach_sap2_actual_f">'[1]IV. Table 3'!$V$23</definedName>
    <definedName name="personnel_nonteach_sap2_actual_m">'[1]IV. Table 3'!$R$23</definedName>
    <definedName name="personnel_nonteach_sap2_brrwdplantilla_shs">'[1]IV. Table 3'!$AL$23</definedName>
    <definedName name="personnel_nonteach_sap2_onleave">'[1]IV. Table 3'!$AD$23</definedName>
    <definedName name="personnel_nonteach_sap3_actual_f">'[1]IV. Table 3'!$V$22</definedName>
    <definedName name="personnel_nonteach_sap3_actual_m">'[1]IV. Table 3'!$R$22</definedName>
    <definedName name="personnel_nonteach_sap3_brrwdplantilla_shs">'[1]IV. Table 3'!$AL$22</definedName>
    <definedName name="personnel_nonteach_sap3_onleave">'[1]IV. Table 3'!$AD$22</definedName>
    <definedName name="personnel_nonteach_security_guard_actual_f">'[1]IV. Table 3'!$V$46</definedName>
    <definedName name="personnel_nonteach_security_guard_actual_m">'[1]IV. Table 3'!$R$46</definedName>
    <definedName name="personnel_nonteach_security_guard_borrowed_es">'[1]IV. Table 2'!$BF$48</definedName>
    <definedName name="personnel_nonteach_security_guard_borrowed_jhs">'[1]IV. Table 2'!$BJ$48</definedName>
    <definedName name="personnel_nonteach_security_guard_borrowed_odo">'[1]IV. Table 2'!$BR$48</definedName>
    <definedName name="personnel_nonteach_security_guard_borrowed_shs">'[1]IV. Table 2'!$BN$48</definedName>
    <definedName name="personnel_nonteach_security_guard_brrwdplantilla_shs">'[1]IV. Table 3'!$AL$46</definedName>
    <definedName name="personnel_nonteach_security_guard_detailed_es">'[1]IV. Table 2'!$AP$48</definedName>
    <definedName name="personnel_nonteach_security_guard_detailed_hs">'[1]IV. Table 2'!$AL$48</definedName>
    <definedName name="personnel_nonteach_security_guard_detailed_outdiv">'[1]IV. Table 2'!$AT$48</definedName>
    <definedName name="personnel_nonteach_security_guard_onleave">'[1]IV. Table 3'!$AD$46</definedName>
    <definedName name="personnel_nonteach_security_guard_vacant">'[1]IV. Table 2'!$AH$48</definedName>
    <definedName name="personnel_nonteach_securityguard_actual_f">'[1]IV. Table 1'!$V$46</definedName>
    <definedName name="personnel_nonteach_securityguard_actual_m">'[1]IV. Table 1'!$R$46</definedName>
    <definedName name="personnel_nonteach_securityguard_brrwdplantilla">'[1]IV. Table 1'!$AL$46</definedName>
    <definedName name="personnel_nonteach_securityguard_onleave">'[1]IV. Table 1'!$AD$46</definedName>
    <definedName name="personnel_nonteach_seniorbk_actual_f">'[1]IV. Table 1'!$V$43</definedName>
    <definedName name="personnel_nonteach_seniorbk_actual_f_shs">'[1]IV. Table 3'!$V$43</definedName>
    <definedName name="personnel_nonteach_seniorbk_actual_m">'[1]IV. Table 1'!$R$43</definedName>
    <definedName name="personnel_nonteach_seniorbk_actual_m_shs">'[1]IV. Table 3'!$R$43</definedName>
    <definedName name="personnel_nonteach_seniorbk_borrowed_es">'[1]IV. Table 2'!$BF$45</definedName>
    <definedName name="personnel_nonteach_seniorbk_borrowed_jhs">'[1]IV. Table 2'!$BJ$45</definedName>
    <definedName name="personnel_nonteach_seniorbk_borrowed_odo">'[1]IV. Table 2'!$BR$45</definedName>
    <definedName name="personnel_nonteach_seniorbk_borrowed_shs">'[1]IV. Table 2'!$BN$45</definedName>
    <definedName name="personnel_nonteach_seniorbk_brrwdplantilla">'[1]IV. Table 1'!$AL$43</definedName>
    <definedName name="personnel_nonteach_seniorbk_brrwdplantilla_shs">'[1]IV. Table 3'!$AL$43</definedName>
    <definedName name="personnel_nonteach_seniorbk_detailed_es">'[1]IV. Table 2'!$AP$45</definedName>
    <definedName name="personnel_nonteach_seniorbk_detailed_hs">'[1]IV. Table 2'!$AL$45</definedName>
    <definedName name="personnel_nonteach_seniorbk_detailed_outdiv">'[1]IV. Table 2'!$AT$45</definedName>
    <definedName name="personnel_nonteach_seniorbk_onleave">'[1]IV. Table 1'!$AD$43</definedName>
    <definedName name="personnel_nonteach_seniorbk_onleave_shs">'[1]IV. Table 3'!$AD$43</definedName>
    <definedName name="personnel_nonteach_seniorbk_vacant">'[1]IV. Table 2'!$AH$45</definedName>
    <definedName name="personnel_nonteach_sp1_actual_f">'[1]IV. Table 1'!$V$19</definedName>
    <definedName name="personnel_nonteach_sp1_actual_f_shs">'[1]IV. Table 3'!$V$19</definedName>
    <definedName name="personnel_nonteach_sp1_actual_m">'[1]IV. Table 1'!$R$19</definedName>
    <definedName name="personnel_nonteach_sp1_actual_m_shs">'[1]IV. Table 3'!$R$19</definedName>
    <definedName name="personnel_nonteach_sp1_borrowed_es">'[1]IV. Table 2'!$BF$21</definedName>
    <definedName name="personnel_nonteach_sp1_borrowed_jhs">'[1]IV. Table 2'!$BJ$21</definedName>
    <definedName name="personnel_nonteach_sp1_borrowed_odo">'[1]IV. Table 2'!$BR$21</definedName>
    <definedName name="personnel_nonteach_sp1_borrowed_shs">'[1]IV. Table 2'!$BN$21</definedName>
    <definedName name="personnel_nonteach_sp1_brrwdplantilla">'[1]IV. Table 1'!$AL$19</definedName>
    <definedName name="personnel_nonteach_sp1_brrwdplantilla_shs">'[1]IV. Table 3'!$AL$19</definedName>
    <definedName name="personnel_nonteach_sp1_detailed_es">'[1]IV. Table 2'!$AP$21</definedName>
    <definedName name="personnel_nonteach_sp1_detailed_hs">'[1]IV. Table 2'!$AL$21</definedName>
    <definedName name="personnel_nonteach_sp1_detailed_outdiv">'[1]IV. Table 2'!$AT$21</definedName>
    <definedName name="personnel_nonteach_sp1_onleave">'[1]IV. Table 1'!$AD$19</definedName>
    <definedName name="personnel_nonteach_sp1_onleave_shs">'[1]IV. Table 3'!$AD$19</definedName>
    <definedName name="personnel_nonteach_sp1_vacant">'[1]IV. Table 2'!$AH$21</definedName>
    <definedName name="personnel_nonteach_sp2_actual_f">'[1]IV. Table 1'!$V$18</definedName>
    <definedName name="personnel_nonteach_sp2_actual_f_shs">'[1]IV. Table 3'!$V$18</definedName>
    <definedName name="personnel_nonteach_sp2_actual_m">'[1]IV. Table 1'!$R$18</definedName>
    <definedName name="personnel_nonteach_sp2_actual_m_shs">'[1]IV. Table 3'!$R$18</definedName>
    <definedName name="personnel_nonteach_sp2_borrowed_es">'[1]IV. Table 2'!$BF$20</definedName>
    <definedName name="personnel_nonteach_sp2_borrowed_jhs">'[1]IV. Table 2'!$BJ$20</definedName>
    <definedName name="personnel_nonteach_sp2_borrowed_odo">'[1]IV. Table 2'!$BR$20</definedName>
    <definedName name="personnel_nonteach_sp2_borrowed_shs">'[1]IV. Table 2'!$BN$20</definedName>
    <definedName name="personnel_nonteach_sp2_brrwdplantilla">'[1]IV. Table 1'!$AL$18</definedName>
    <definedName name="personnel_nonteach_sp2_brrwdplantilla_shs">'[1]IV. Table 3'!$AL$18</definedName>
    <definedName name="personnel_nonteach_sp2_detailed_es">'[1]IV. Table 2'!$AP$20</definedName>
    <definedName name="personnel_nonteach_sp2_detailed_hs">'[1]IV. Table 2'!$AL$20</definedName>
    <definedName name="personnel_nonteach_sp2_detailed_outdiv">'[1]IV. Table 2'!$AT$20</definedName>
    <definedName name="personnel_nonteach_sp2_onleave">'[1]IV. Table 1'!$AD$18</definedName>
    <definedName name="personnel_nonteach_sp2_onleave_shs">'[1]IV. Table 3'!$AD$18</definedName>
    <definedName name="personnel_nonteach_sp2_vacant">'[1]IV. Table 2'!$AH$20</definedName>
    <definedName name="personnel_nonteach_sp3_actual_f">'[1]IV. Table 1'!$V$17</definedName>
    <definedName name="personnel_nonteach_sp3_actual_f_shs">'[1]IV. Table 3'!$V$17</definedName>
    <definedName name="personnel_nonteach_sp3_actual_m">'[1]IV. Table 1'!$R$17</definedName>
    <definedName name="personnel_nonteach_sp3_actual_m_shs">'[1]IV. Table 3'!$R$17</definedName>
    <definedName name="personnel_nonteach_sp3_borrowed_es">'[1]IV. Table 2'!$BF$19</definedName>
    <definedName name="personnel_nonteach_sp3_borrowed_jhs">'[1]IV. Table 2'!$BJ$19</definedName>
    <definedName name="personnel_nonteach_sp3_borrowed_odo">'[1]IV. Table 2'!$BR$19</definedName>
    <definedName name="personnel_nonteach_sp3_borrowed_shs">'[1]IV. Table 2'!$BN$19</definedName>
    <definedName name="personnel_nonteach_sp3_brrwdplantilla">'[1]IV. Table 1'!$AL$17</definedName>
    <definedName name="personnel_nonteach_sp3_brrwdplantilla_shs">'[1]IV. Table 3'!$AL$17</definedName>
    <definedName name="personnel_nonteach_sp3_detailed_es">'[1]IV. Table 2'!$AP$19</definedName>
    <definedName name="personnel_nonteach_sp3_detailed_hs">'[1]IV. Table 2'!$AL$19</definedName>
    <definedName name="personnel_nonteach_sp3_detailed_outdiv">'[1]IV. Table 2'!$AT$19</definedName>
    <definedName name="personnel_nonteach_sp3_onleave">'[1]IV. Table 1'!$AD$17</definedName>
    <definedName name="personnel_nonteach_sp3_onleave_shs">'[1]IV. Table 3'!$AD$17</definedName>
    <definedName name="personnel_nonteach_sp3_vacant">'[1]IV. Table 2'!$AH$19</definedName>
    <definedName name="personnel_nonteach_sp4_actual_f">'[1]IV. Table 1'!$V$16</definedName>
    <definedName name="personnel_nonteach_sp4_actual_f_shs">'[1]IV. Table 3'!$V$16</definedName>
    <definedName name="personnel_nonteach_sp4_actual_m">'[1]IV. Table 1'!$R$16</definedName>
    <definedName name="personnel_nonteach_sp4_actual_m_shs">'[1]IV. Table 3'!$R$16</definedName>
    <definedName name="personnel_nonteach_sp4_borrowed_es">'[1]IV. Table 2'!$BF$18</definedName>
    <definedName name="personnel_nonteach_sp4_borrowed_jhs">'[1]IV. Table 2'!$BJ$18</definedName>
    <definedName name="personnel_nonteach_sp4_borrowed_odo">'[1]IV. Table 2'!$BR$18</definedName>
    <definedName name="personnel_nonteach_sp4_borrowed_shs">'[1]IV. Table 2'!$BN$18</definedName>
    <definedName name="personnel_nonteach_sp4_brrwdplantilla">'[1]IV. Table 1'!$AL$16</definedName>
    <definedName name="personnel_nonteach_sp4_brrwdplantilla_shs">'[1]IV. Table 3'!$AL$16</definedName>
    <definedName name="personnel_nonteach_sp4_detailed_es">'[1]IV. Table 2'!$AP$18</definedName>
    <definedName name="personnel_nonteach_sp4_detailed_hs">'[1]IV. Table 2'!$AL$18</definedName>
    <definedName name="personnel_nonteach_sp4_detailed_outdiv">'[1]IV. Table 2'!$AT$18</definedName>
    <definedName name="personnel_nonteach_sp4_onleave">'[1]IV. Table 1'!$AD$16</definedName>
    <definedName name="personnel_nonteach_sp4_onleave_shs">'[1]IV. Table 3'!$AD$16</definedName>
    <definedName name="personnel_nonteach_sp4_vacant">'[1]IV. Table 2'!$AH$18</definedName>
    <definedName name="personnel_nonteach_sp5_actual_f">'[1]IV. Table 1'!$V$15</definedName>
    <definedName name="personnel_nonteach_sp5_actual_f_shs">'[1]IV. Table 3'!$V$15</definedName>
    <definedName name="personnel_nonteach_sp5_actual_m">'[1]IV. Table 1'!$R$15</definedName>
    <definedName name="personnel_nonteach_sp5_actual_m_shs">'[1]IV. Table 3'!$R$15</definedName>
    <definedName name="personnel_nonteach_sp5_borrowed_es">'[1]IV. Table 2'!$BF$17</definedName>
    <definedName name="personnel_nonteach_sp5_borrowed_jhs">'[1]IV. Table 2'!$BJ$17</definedName>
    <definedName name="personnel_nonteach_sp5_borrowed_odo">'[1]IV. Table 2'!$BR$17</definedName>
    <definedName name="personnel_nonteach_sp5_borrowed_shs">'[1]IV. Table 2'!$BN$17</definedName>
    <definedName name="personnel_nonteach_sp5_brrwdplantilla">'[1]IV. Table 1'!$AL$15</definedName>
    <definedName name="personnel_nonteach_sp5_brrwdplantilla_shs">'[1]IV. Table 3'!$AL$15</definedName>
    <definedName name="personnel_nonteach_sp5_detailed_es">'[1]IV. Table 2'!$AP$17</definedName>
    <definedName name="personnel_nonteach_sp5_detailed_hs">'[1]IV. Table 2'!$AL$17</definedName>
    <definedName name="personnel_nonteach_sp5_detailed_outdiv">'[1]IV. Table 2'!$AT$17</definedName>
    <definedName name="personnel_nonteach_sp5_onleave">'[1]IV. Table 1'!$AD$15</definedName>
    <definedName name="personnel_nonteach_sp5_onleave_shs">'[1]IV. Table 3'!$AD$15</definedName>
    <definedName name="personnel_nonteach_sp5_vacant">'[1]IV. Table 2'!$AH$17</definedName>
    <definedName name="personnel_nonteach_ssp1_actual_f">'[1]IV. Table 1'!$V$21</definedName>
    <definedName name="personnel_nonteach_ssp1_actual_f_shs">'[1]IV. Table 3'!$V$21</definedName>
    <definedName name="personnel_nonteach_ssp1_actual_m">'[1]IV. Table 1'!$R$21</definedName>
    <definedName name="personnel_nonteach_ssp1_actual_m_shs">'[1]IV. Table 3'!$R$21</definedName>
    <definedName name="personnel_nonteach_ssp1_borrowed_es">'[1]IV. Table 2'!$BF$23</definedName>
    <definedName name="personnel_nonteach_ssp1_borrowed_jhs">'[1]IV. Table 2'!$BJ$23</definedName>
    <definedName name="personnel_nonteach_ssp1_borrowed_odo">'[1]IV. Table 2'!$BR$23</definedName>
    <definedName name="personnel_nonteach_ssp1_borrowed_shs">'[1]IV. Table 2'!$BN$23</definedName>
    <definedName name="personnel_nonteach_ssp1_brrwdplantilla">'[1]IV. Table 1'!$AL$21</definedName>
    <definedName name="personnel_nonteach_ssp1_brrwdplantilla_shs">'[1]IV. Table 3'!$AL$21</definedName>
    <definedName name="personnel_nonteach_ssp1_detailed_es">'[1]IV. Table 2'!$AP$23</definedName>
    <definedName name="personnel_nonteach_ssp1_detailed_hs">'[1]IV. Table 2'!$AL$23</definedName>
    <definedName name="personnel_nonteach_ssp1_detailed_outdiv">'[1]IV. Table 2'!$AT$23</definedName>
    <definedName name="personnel_nonteach_ssp1_onleave">'[1]IV. Table 1'!$AD$21</definedName>
    <definedName name="personnel_nonteach_ssp1_onleave_shs">'[1]IV. Table 3'!$AD$21</definedName>
    <definedName name="personnel_nonteach_ssp1_vacant">'[1]IV. Table 2'!$AH$23</definedName>
    <definedName name="personnel_nonteach_ssp2_actual_f">'[1]IV. Table 1'!$V$20</definedName>
    <definedName name="personnel_nonteach_ssp2_actual_f_shs">'[1]IV. Table 3'!$V$20</definedName>
    <definedName name="personnel_nonteach_ssp2_actual_m">'[1]IV. Table 1'!$R$20</definedName>
    <definedName name="personnel_nonteach_ssp2_actual_m_shs">'[1]IV. Table 3'!$R$20</definedName>
    <definedName name="personnel_nonteach_ssp2_borrowed_es">'[1]IV. Table 2'!$BF$22</definedName>
    <definedName name="personnel_nonteach_ssp2_borrowed_jhs">'[1]IV. Table 2'!$BJ$22</definedName>
    <definedName name="personnel_nonteach_ssp2_borrowed_odo">'[1]IV. Table 2'!$BR$22</definedName>
    <definedName name="personnel_nonteach_ssp2_borrowed_shs">'[1]IV. Table 2'!$BN$22</definedName>
    <definedName name="personnel_nonteach_ssp2_brrwdplantilla">'[1]IV. Table 1'!$AL$20</definedName>
    <definedName name="personnel_nonteach_ssp2_brrwdplantilla_shs">'[1]IV. Table 3'!$AL$20</definedName>
    <definedName name="personnel_nonteach_ssp2_detailed_es">'[1]IV. Table 2'!$AP$22</definedName>
    <definedName name="personnel_nonteach_ssp2_detailed_hs">'[1]IV. Table 2'!$AL$22</definedName>
    <definedName name="personnel_nonteach_ssp2_detailed_outdiv">'[1]IV. Table 2'!$AT$22</definedName>
    <definedName name="personnel_nonteach_ssp2_onleave">'[1]IV. Table 1'!$AD$20</definedName>
    <definedName name="personnel_nonteach_ssp2_onleave_shs">'[1]IV. Table 3'!$AD$20</definedName>
    <definedName name="personnel_nonteach_ssp2_vacant">'[1]IV. Table 2'!$AH$22</definedName>
    <definedName name="personnel_nonteach_utility_worker_actual_f">'[1]IV. Table 3'!$V$48</definedName>
    <definedName name="personnel_nonteach_utility_worker_actual_m">'[1]IV. Table 3'!$R$48</definedName>
    <definedName name="personnel_nonteach_utility_worker_borrowed_es">'[1]IV. Table 2'!$BF$50</definedName>
    <definedName name="personnel_nonteach_utility_worker_borrowed_jhs">'[1]IV. Table 2'!$BJ$50</definedName>
    <definedName name="personnel_nonteach_utility_worker_borrowed_odo">'[1]IV. Table 2'!$BR$50</definedName>
    <definedName name="personnel_nonteach_utility_worker_borrowed_shs">'[1]IV. Table 2'!$BN$50</definedName>
    <definedName name="personnel_nonteach_utility_worker_brrwdplantilla_shs">'[1]IV. Table 3'!$AL$48</definedName>
    <definedName name="personnel_nonteach_utility_worker_detailed_es">'[1]IV. Table 2'!$AP$50</definedName>
    <definedName name="personnel_nonteach_utility_worker_detailed_hs">'[1]IV. Table 2'!$AL$50</definedName>
    <definedName name="personnel_nonteach_utility_worker_detailed_outdiv">'[1]IV. Table 2'!$AT$50</definedName>
    <definedName name="personnel_nonteach_utility_worker_onleave">'[1]IV. Table 3'!$AD$48</definedName>
    <definedName name="personnel_nonteach_utility_worker_vacant">'[1]IV. Table 2'!$AH$50</definedName>
    <definedName name="personnel_nonteach_utilityworkerI_actual_f">'[1]IV. Table 1'!$V$48</definedName>
    <definedName name="personnel_nonteach_utilityworkerI_actual_m">'[1]IV. Table 1'!$R$48</definedName>
    <definedName name="personnel_nonteach_utilityworkerI_brrwdplantilla">'[1]IV. Table 1'!$AL$48</definedName>
    <definedName name="personnel_nonteach_utilityworkerI_onleave">'[1]IV. Table 1'!$AD$48</definedName>
    <definedName name="personnel_nonteach_watchman_actual_f">'[1]IV. Table 1'!$V$47</definedName>
    <definedName name="personnel_nonteach_watchman_actual_f_shs">'[1]IV. Table 3'!$V$47</definedName>
    <definedName name="personnel_nonteach_watchman_actual_m">'[1]IV. Table 1'!$R$47</definedName>
    <definedName name="personnel_nonteach_watchman_actual_m_shs">'[1]IV. Table 3'!$R$47</definedName>
    <definedName name="personnel_nonteach_watchman_borrowed_es">'[1]IV. Table 2'!$BF$49</definedName>
    <definedName name="personnel_nonteach_watchman_borrowed_jhs">'[1]IV. Table 2'!$BJ$49</definedName>
    <definedName name="personnel_nonteach_watchman_borrowed_odo">'[1]IV. Table 2'!$BR$49</definedName>
    <definedName name="personnel_nonteach_watchman_borrowed_shs">'[1]IV. Table 2'!$BN$49</definedName>
    <definedName name="personnel_nonteach_watchman_brrwdplantilla">'[1]IV. Table 1'!$AL$47</definedName>
    <definedName name="personnel_nonteach_watchman_brrwdplantilla_shs">'[1]IV. Table 3'!$AL$47</definedName>
    <definedName name="personnel_nonteach_watchman_detailed_es">'[1]IV. Table 2'!$AP$49</definedName>
    <definedName name="personnel_nonteach_watchman_detailed_hs">'[1]IV. Table 2'!$AL$49</definedName>
    <definedName name="personnel_nonteach_watchman_detailed_outdiv">'[1]IV. Table 2'!$AT$49</definedName>
    <definedName name="personnel_nonteach_watchman_onleave">'[1]IV. Table 1'!$AD$47</definedName>
    <definedName name="personnel_nonteach_watchman_onleave_shs">'[1]IV. Table 3'!$AD$47</definedName>
    <definedName name="personnel_nonteach_watchman_vacant">'[1]IV. Table 2'!$AH$49</definedName>
    <definedName name="personnel_participated_survey_iec_teaching_f">'[1]XII. Box 4 (Part 2)'!$J$17</definedName>
    <definedName name="personnel_participated_survey_iec_teaching_m">'[1]XII. Box 4 (Part 2)'!$E$17</definedName>
    <definedName name="personnel_participated_survey_iec_teaching_nonteaching_f">'[1]XII. Box 4 (Part 2)'!$T$17</definedName>
    <definedName name="personnel_participated_survey_iec_teaching_nonteaching_m">'[1]XII. Box 4 (Part 2)'!$O$17</definedName>
    <definedName name="personnel_pdo_I_actual_total">'[1]IV. Table 1'!$Z$41</definedName>
    <definedName name="personnel_pdo_I_natl_fund_total_es">'[1]IV. Table 1'!$AP$41</definedName>
    <definedName name="personnel_pdo_I_num_pos_assigned_total">'[1]IV. Table 1'!$AH$41</definedName>
    <definedName name="personnel_registrar1_actual_total">'[1]IV. Table 1'!$Z$38</definedName>
    <definedName name="personnel_registrar1_natl_fund_total_es">'[1]IV. Table 1'!$AP$38</definedName>
    <definedName name="personnel_registrar1_num_pos_assigned_total">'[1]IV. Table 1'!$AH$38</definedName>
    <definedName name="personnel_securityguard_actual_total">'[1]IV. Table 1'!$Z$46</definedName>
    <definedName name="personnel_securityguard_natl_fund_total_es">'[1]IV. Table 1'!$AP$46</definedName>
    <definedName name="personnel_securityguard_num_pos_assigned_total">'[1]IV. Table 1'!$AH$46</definedName>
    <definedName name="personnel_seniorbk_actual_total">'[1]IV. Table 1'!$Z$43</definedName>
    <definedName name="personnel_seniorbk_natl_fund_total_es">'[1]IV. Table 1'!$AP$43</definedName>
    <definedName name="personnel_seniorbk_num_pos_assigned_total">'[1]IV. Table 1'!$AH$43</definedName>
    <definedName name="personnel_shs_adminofficer_II_actual_total">'[1]IV. Table 3'!$Z$40</definedName>
    <definedName name="personnel_shs_adminofficer_II_natl_fund_shs_total">'[1]IV. Table 3'!$AP$40</definedName>
    <definedName name="personnel_shs_adminofficer_II_num_pos_assigned_total">'[1]IV. Table 3'!$AH$40</definedName>
    <definedName name="personnel_shs_adminofficer_IV_actual_total">'[1]IV. Table 3'!$Z$39</definedName>
    <definedName name="personnel_shs_adminofficer_IV_natl_fund_shs_total">'[1]IV. Table 3'!$AP$39</definedName>
    <definedName name="personnel_shs_adminofficer_IV_num_pos_assigned_total">'[1]IV. Table 3'!$AH$39</definedName>
    <definedName name="personnel_shs_asp1_actual_total">'[1]IV. Table 3'!$Z$24</definedName>
    <definedName name="personnel_shs_asp1_natl_fund_shs_total">'[1]IV. Table 3'!$AP$24</definedName>
    <definedName name="personnel_shs_asp1_num_pos_assigned_total">'[1]IV. Table 3'!$AH$24</definedName>
    <definedName name="personnel_shs_asp2_actual_total">'[1]IV. Table 3'!$Z$23</definedName>
    <definedName name="personnel_shs_asp2_natl_fund_shs_total">'[1]IV. Table 3'!$AP$23</definedName>
    <definedName name="personnel_shs_asp2_num_pos_assigned_total">'[1]IV. Table 3'!$AH$23</definedName>
    <definedName name="personnel_shs_asp3_actual_total">'[1]IV. Table 3'!$Z$22</definedName>
    <definedName name="personnel_shs_asp3_natl_fund_shs_total">'[1]IV. Table 3'!$AP$22</definedName>
    <definedName name="personnel_shs_asp3_num_pos_assigned_total">'[1]IV. Table 3'!$AH$22</definedName>
    <definedName name="personnel_shs_assp_actual_total">'[1]IV. Table 3'!$Z$25</definedName>
    <definedName name="personnel_shs_assp_natl_fund_shs_total">'[1]IV. Table 3'!$AP$25</definedName>
    <definedName name="personnel_shs_assp_num_pos_assigned_total">'[1]IV. Table 3'!$AH$25</definedName>
    <definedName name="personnel_shs_clerk_actual_total">'[1]IV. Table 3'!$Z$45</definedName>
    <definedName name="personnel_shs_clerk_natl_fund_shs_total">'[1]IV. Table 3'!$AP$45</definedName>
    <definedName name="personnel_shs_clerk_num_pos_assigned_total">'[1]IV. Table 3'!$AH$45</definedName>
    <definedName name="personnel_shs_cmt_I_actual_total">'[1]IV. Table 3'!$Z$42</definedName>
    <definedName name="personnel_shs_cmt_I_natl_fund_shs_total">'[1]IV. Table 3'!$AP$42</definedName>
    <definedName name="personnel_shs_cmt_I_num_pos_assigned_total">'[1]IV. Table 3'!$AH$42</definedName>
    <definedName name="personnel_shs_disbofficer_actual_total">'[1]IV. Table 3'!$Z$44</definedName>
    <definedName name="personnel_shs_disbofficer_natl_fund_shs_total">'[1]IV. Table 3'!$AP$44</definedName>
    <definedName name="personnel_shs_disbofficer_num_pos_assigned_total">'[1]IV. Table 3'!$AH$44</definedName>
    <definedName name="personnel_shs_guidancecoor_I_actual_total">'[1]IV. Table 3'!$Z$34</definedName>
    <definedName name="personnel_shs_guidancecoor_I_natl_fund_shs_total">'[1]IV. Table 3'!$AP$34</definedName>
    <definedName name="personnel_shs_guidancecoor_I_num_pos_assigned_total">'[1]IV. Table 3'!$AH$34</definedName>
    <definedName name="personnel_shs_guidancecoor_II_actual_total">'[1]IV. Table 3'!$Z$33</definedName>
    <definedName name="personnel_shs_guidancecoor_II_natl_fund_shs_total">'[1]IV. Table 3'!$AP$33</definedName>
    <definedName name="personnel_shs_guidancecoor_II_num_pos_assigned_total">'[1]IV. Table 3'!$AH$33</definedName>
    <definedName name="personnel_shs_guidancecoor_III_actual_total">'[1]IV. Table 3'!$Z$32</definedName>
    <definedName name="personnel_shs_guidancecoor_III_natl_fund_shs_total">'[1]IV. Table 3'!$AP$32</definedName>
    <definedName name="personnel_shs_guidancecoor_III_num_pos_assigned_total">'[1]IV. Table 3'!$AH$32</definedName>
    <definedName name="personnel_shs_guidancecounsel_I_actual_total">'[1]IV. Table 3'!$Z$37</definedName>
    <definedName name="personnel_shs_guidancecounsel_I_natl_fund_shs_total">'[1]IV. Table 3'!$AP$37</definedName>
    <definedName name="personnel_shs_guidancecounsel_I_num_pos_assigned_total">'[1]IV. Table 3'!$AH$37</definedName>
    <definedName name="personnel_shs_guidancecounsel_II_actual_total">'[1]IV. Table 3'!$Z$36</definedName>
    <definedName name="personnel_shs_guidancecounsel_II_natl_fund_shs_total">'[1]IV. Table 3'!$AP$36</definedName>
    <definedName name="personnel_shs_guidancecounsel_II_num_pos_assigned_total">'[1]IV. Table 3'!$AH$36</definedName>
    <definedName name="personnel_shs_guidancecounsel_III_actual_total">'[1]IV. Table 3'!$Z$35</definedName>
    <definedName name="personnel_shs_guidancecounsel_III_natl_fund_shs_total">'[1]IV. Table 3'!$AP$35</definedName>
    <definedName name="personnel_shs_guidancecounsel_III_num_pos_assigned_total">'[1]IV. Table 3'!$AH$35</definedName>
    <definedName name="personnel_shs_ht1_actual_total">'[1]IV. Table 3'!$Z$31</definedName>
    <definedName name="personnel_shs_ht1_natl_fund_shs_total">'[1]IV. Table 3'!$AP$31</definedName>
    <definedName name="personnel_shs_ht1_num_pos_assigned_total">'[1]IV. Table 3'!$AH$31</definedName>
    <definedName name="personnel_shs_ht2_actual_total">'[1]IV. Table 3'!$Z$30</definedName>
    <definedName name="personnel_shs_ht2_natl_fund_shs_total">'[1]IV. Table 3'!$AP$30</definedName>
    <definedName name="personnel_shs_ht2_num_pos_assigned_total">'[1]IV. Table 3'!$AH$30</definedName>
    <definedName name="personnel_shs_ht3_actual_total">'[1]IV. Table 3'!$Z$29</definedName>
    <definedName name="personnel_shs_ht3_natl_fund_shs_total">'[1]IV. Table 3'!$AP$29</definedName>
    <definedName name="personnel_shs_ht3_num_pos_assigned_total">'[1]IV. Table 3'!$AH$29</definedName>
    <definedName name="personnel_shs_ht4_actual_total">'[1]IV. Table 3'!$Z$28</definedName>
    <definedName name="personnel_shs_ht4_natl_fund_shs_total">'[1]IV. Table 3'!$AP$28</definedName>
    <definedName name="personnel_shs_ht4_num_pos_assigned_total">'[1]IV. Table 3'!$AH$28</definedName>
    <definedName name="personnel_shs_ht5_actual_total">'[1]IV. Table 3'!$Z$27</definedName>
    <definedName name="personnel_shs_ht5_natl_fund_shs_total">'[1]IV. Table 3'!$AP$27</definedName>
    <definedName name="personnel_shs_ht5_num_pos_assigned_total">'[1]IV. Table 3'!$AH$27</definedName>
    <definedName name="personnel_shs_ht6_actual_total">'[1]IV. Table 3'!$Z$26</definedName>
    <definedName name="personnel_shs_ht6_natl_fund_shs_total">'[1]IV. Table 3'!$AP$26</definedName>
    <definedName name="personnel_shs_ht6_num_pos_assigned_total">'[1]IV. Table 3'!$AH$26</definedName>
    <definedName name="personnel_shs_mt1_actual_total">'[1]IV. Table 6'!$Z$19</definedName>
    <definedName name="personnel_shs_mt1_nationally_funded_total">'[1]IV. Table 6'!$AP$19</definedName>
    <definedName name="personnel_shs_mt1_num_pos_assigned_total">'[1]IV. Table 6'!$AH$19</definedName>
    <definedName name="personnel_shs_mt2_actual_total">'[1]IV. Table 6'!$Z$18</definedName>
    <definedName name="personnel_shs_mt2_nationally_funded_total">'[1]IV. Table 6'!$AP$18</definedName>
    <definedName name="personnel_shs_mt2_num_pos_assigned_total">'[1]IV. Table 6'!$AH$18</definedName>
    <definedName name="personnel_shs_mt3_actual_total">'[1]IV. Table 6'!$Z$17</definedName>
    <definedName name="personnel_shs_mt3_nationally_funded_total">'[1]IV. Table 6'!$AP$17</definedName>
    <definedName name="personnel_shs_mt3_num_pos_assigned_total">'[1]IV. Table 6'!$AH$17</definedName>
    <definedName name="personnel_shs_mt4_actual_total">'[1]IV. Table 6'!$Z$16</definedName>
    <definedName name="personnel_shs_mt4_nationally_funded_total">'[1]IV. Table 6'!$AP$16</definedName>
    <definedName name="personnel_shs_mt4_num_pos_assigned_total">'[1]IV. Table 6'!$AH$16</definedName>
    <definedName name="personnel_shs_mt5_actual_total">'[1]IV. Table 6'!$Z$15</definedName>
    <definedName name="personnel_shs_mt5_nationally_funded_total">'[1]IV. Table 6'!$AP$15</definedName>
    <definedName name="personnel_shs_mt5_num_pos_assigned_total">'[1]IV. Table 6'!$AH$15</definedName>
    <definedName name="personnel_shs_pdo_I_actual_total">'[1]IV. Table 3'!$Z$41</definedName>
    <definedName name="personnel_shs_pdo_I_natl_fund_shs_total">'[1]IV. Table 3'!$AP$41</definedName>
    <definedName name="personnel_shs_pdo_I_num_pos_assigned_total">'[1]IV. Table 3'!$AH$41</definedName>
    <definedName name="personnel_shs_registrar1_actual_total">'[1]IV. Table 3'!$Z$38</definedName>
    <definedName name="personnel_shs_registrar1_natl_fund_shs_total">'[1]IV. Table 3'!$AP$38</definedName>
    <definedName name="personnel_shs_registrar1_num_pos_assigned_total">'[1]IV. Table 3'!$AH$38</definedName>
    <definedName name="personnel_shs_securityguard_actual_total">'[1]IV. Table 3'!$Z$46</definedName>
    <definedName name="personnel_shs_securityguard_natl_fund_shs_total">'[1]IV. Table 3'!$AP$46</definedName>
    <definedName name="personnel_shs_securityguard_num_pos_assigned_total">'[1]IV. Table 3'!$AH$46</definedName>
    <definedName name="personnel_shs_seniorbk_actual_total">'[1]IV. Table 3'!$Z$43</definedName>
    <definedName name="personnel_shs_seniorbk_natl_fund_shs_total">'[1]IV. Table 3'!$AP$43</definedName>
    <definedName name="personnel_shs_seniorbk_num_pos_assigned_total">'[1]IV. Table 3'!$AH$43</definedName>
    <definedName name="personnel_shs_sp1_actual_total">'[1]IV. Table 3'!$Z$19</definedName>
    <definedName name="personnel_shs_sp1_natl_fund_shs_total">'[1]IV. Table 3'!$AP$19</definedName>
    <definedName name="personnel_shs_sp1_num_pos_assigned_total">'[1]IV. Table 3'!$AH$19</definedName>
    <definedName name="personnel_shs_sp2_actual_total">'[1]IV. Table 3'!$Z$18</definedName>
    <definedName name="personnel_shs_sp2_natl_fund_shs_total">'[1]IV. Table 3'!$AP$18</definedName>
    <definedName name="personnel_shs_sp2_num_pos_assigned_total">'[1]IV. Table 3'!$AH$18</definedName>
    <definedName name="personnel_shs_sp3_actual_total">'[1]IV. Table 3'!$Z$17</definedName>
    <definedName name="personnel_shs_sp3_natl_fund_shs_total">'[1]IV. Table 3'!$AP$17</definedName>
    <definedName name="personnel_shs_sp3_num_pos_assigned_total">'[1]IV. Table 3'!$AH$17</definedName>
    <definedName name="personnel_shs_sp4_actual_total">'[1]IV. Table 3'!$Z$16</definedName>
    <definedName name="personnel_shs_sp4_natl_fund_shs_total">'[1]IV. Table 3'!$AP$16</definedName>
    <definedName name="personnel_shs_sp4_num_pos_assigned_total">'[1]IV. Table 3'!$AH$16</definedName>
    <definedName name="personnel_shs_sp5_actual_total">'[1]IV. Table 3'!$Z$15</definedName>
    <definedName name="personnel_shs_sp5_natl_fund_shs_total">'[1]IV. Table 3'!$AP$15</definedName>
    <definedName name="personnel_shs_sp5_num_pos_assigned_total">'[1]IV. Table 3'!$AH$15</definedName>
    <definedName name="personnel_shs_ssp1_actual_total">'[1]IV. Table 3'!$Z$21</definedName>
    <definedName name="personnel_shs_ssp1_natl_fund_shs_total">'[1]IV. Table 3'!$AP$21</definedName>
    <definedName name="personnel_shs_ssp1_num_pos_assigned_total">'[1]IV. Table 3'!$AH$21</definedName>
    <definedName name="personnel_shs_ssp2_actual_total">'[1]IV. Table 3'!$Z$20</definedName>
    <definedName name="personnel_shs_ssp2_natl_fund_shs_total">'[1]IV. Table 3'!$AP$20</definedName>
    <definedName name="personnel_shs_ssp2_num_pos_assigned_total">'[1]IV. Table 3'!$AH$20</definedName>
    <definedName name="personnel_shs_sst1_actual_total">'[1]IV. Table 6'!$Z$28</definedName>
    <definedName name="personnel_shs_sst1_nationally_funded_total">'[1]IV. Table 6'!$AP$28</definedName>
    <definedName name="personnel_shs_sst1_num_pos_assigned_total">'[1]IV. Table 6'!$AH$28</definedName>
    <definedName name="personnel_shs_sst2_actual_total">'[1]IV. Table 6'!$Z$27</definedName>
    <definedName name="personnel_shs_sst2_nationally_funded_total">'[1]IV. Table 6'!$AP$27</definedName>
    <definedName name="personnel_shs_sst2_num_pos_assigned_total">'[1]IV. Table 6'!$AH$27</definedName>
    <definedName name="personnel_shs_t1_actual_total">'[1]IV. Table 6'!$Z$26</definedName>
    <definedName name="personnel_shs_t1_nationally_funded_total">'[1]IV. Table 6'!$AP$26</definedName>
    <definedName name="personnel_shs_t1_num_pos_assigned_total">'[1]IV. Table 6'!$AH$26</definedName>
    <definedName name="personnel_shs_t2_actual_total">'[1]IV. Table 6'!$Z$25</definedName>
    <definedName name="personnel_shs_t2_nationally_funded_total">'[1]IV. Table 6'!$AP$25</definedName>
    <definedName name="personnel_shs_t2_num_pos_assigned_total">'[1]IV. Table 6'!$AH$25</definedName>
    <definedName name="personnel_shs_t3_actual_total">'[1]IV. Table 6'!$Z$24</definedName>
    <definedName name="personnel_shs_t3_nationally_funded_total">'[1]IV. Table 6'!$AP$24</definedName>
    <definedName name="personnel_shs_t3_num_pos_assigned_total">'[1]IV. Table 6'!$AH$24</definedName>
    <definedName name="personnel_shs_t4_actual_total">'[1]IV. Table 6'!$Z$23</definedName>
    <definedName name="personnel_shs_t4_nationally_funded_total">'[1]IV. Table 6'!$AP$23</definedName>
    <definedName name="personnel_shs_t4_num_pos_assigned_total">'[1]IV. Table 6'!$AH$23</definedName>
    <definedName name="personnel_shs_t5_actual_total">'[1]IV. Table 6'!$Z$22</definedName>
    <definedName name="personnel_shs_t5_nationally_funded_total">'[1]IV. Table 6'!$AP$22</definedName>
    <definedName name="personnel_shs_t5_num_pos_assigned_total">'[1]IV. Table 6'!$AH$22</definedName>
    <definedName name="personnel_shs_t6_actual_total">'[1]IV. Table 6'!$Z$21</definedName>
    <definedName name="personnel_shs_t6_nationally_funded_total">'[1]IV. Table 6'!$AP$21</definedName>
    <definedName name="personnel_shs_t6_num_pos_assigned_total">'[1]IV. Table 6'!$AH$21</definedName>
    <definedName name="personnel_shs_t7_actual_total">'[1]IV. Table 6'!$Z$20</definedName>
    <definedName name="personnel_shs_t7_nationally_funded_total">'[1]IV. Table 6'!$AP$20</definedName>
    <definedName name="personnel_shs_t7_num_pos_assigned_total">'[1]IV. Table 6'!$AH$20</definedName>
    <definedName name="personnel_shs_utilityworkerI_actual_total">'[1]IV. Table 3'!$Z$48</definedName>
    <definedName name="personnel_shs_utilityworkerI_natl_fund_shs_total">'[1]IV. Table 3'!$AP$48</definedName>
    <definedName name="personnel_shs_utilityworkerI_num_pos_assigned_total">'[1]IV. Table 3'!$AH$48</definedName>
    <definedName name="personnel_shs_watchman_actual_total">'[1]IV. Table 3'!$Z$47</definedName>
    <definedName name="personnel_shs_watchman_natl_fund_shs_total">'[1]IV. Table 3'!$AP$47</definedName>
    <definedName name="personnel_shs_watchman_num_pos_assigned_total">'[1]IV. Table 3'!$AH$47</definedName>
    <definedName name="personnel_sp1_actual_total">'[1]IV. Table 1'!$Z$19</definedName>
    <definedName name="personnel_sp1_natl_fund_total_es">'[1]IV. Table 1'!$AP$19</definedName>
    <definedName name="personnel_sp1_num_pos_assigned_total">'[1]IV. Table 1'!$AH$19</definedName>
    <definedName name="personnel_sp2_actual_total">'[1]IV. Table 1'!$Z$18</definedName>
    <definedName name="personnel_sp2_natl_fund_total_es">'[1]IV. Table 1'!$AP$18</definedName>
    <definedName name="personnel_sp2_num_pos_assigned_total">'[1]IV. Table 1'!$AH$18</definedName>
    <definedName name="personnel_sp3_actual_total">'[1]IV. Table 1'!$Z$17</definedName>
    <definedName name="personnel_sp3_natl_fund_total_es">'[1]IV. Table 1'!$AP$17</definedName>
    <definedName name="personnel_sp3_num_pos_assigned_total">'[1]IV. Table 1'!$AH$17</definedName>
    <definedName name="personnel_sp4_actual_total">'[1]IV. Table 1'!$Z$16</definedName>
    <definedName name="personnel_sp4_natl_fund_total_es">'[1]IV. Table 1'!$AP$16</definedName>
    <definedName name="personnel_sp4_num_pos_assigned_total">'[1]IV. Table 1'!$AH$16</definedName>
    <definedName name="personnel_sp5_actual_total">'[1]IV. Table 1'!$Z$15</definedName>
    <definedName name="personnel_sp5_natl_fund_total_es">'[1]IV. Table 1'!$AP$15</definedName>
    <definedName name="personnel_sp5_num_pos_assigned_total">'[1]IV. Table 1'!$AH$15</definedName>
    <definedName name="personnel_ssp1_actual_total">'[1]IV. Table 1'!$Z$21</definedName>
    <definedName name="personnel_ssp1_natl_fund_total_es">'[1]IV. Table 1'!$AP$21</definedName>
    <definedName name="personnel_ssp1_num_pos_assigned_total">'[1]IV. Table 1'!$AH$21</definedName>
    <definedName name="personnel_ssp2_actual_total">'[1]IV. Table 1'!$Z$20</definedName>
    <definedName name="personnel_ssp2_natl_fund_total_es">'[1]IV. Table 1'!$AP$20</definedName>
    <definedName name="personnel_ssp2_num_pos_assigned_total">'[1]IV. Table 1'!$AH$20</definedName>
    <definedName name="personnel_teach_handling_alivecl_f">'[1]IV. Table 5'!$V$43</definedName>
    <definedName name="personnel_teach_handling_alivecl_m">'[1]IV. Table 5'!$R$43</definedName>
    <definedName name="personnel_teach_handling_alscl_f">'[1]IV. Table 4'!$V$35</definedName>
    <definedName name="personnel_teach_handling_alscl_m">'[1]IV. Table 4'!$R$35</definedName>
    <definedName name="personnel_teach_handling_dalsc_f">'[1]IV. Table 4'!$V$36</definedName>
    <definedName name="personnel_teach_handling_dalsc_m">'[1]IV. Table 4'!$R$36</definedName>
    <definedName name="personnel_teach_handling_g11to12_f">'[1]IV. Table 5'!$V$42</definedName>
    <definedName name="personnel_teach_handling_g11to12_m">'[1]IV. Table 5'!$R$42</definedName>
    <definedName name="personnel_teach_handling_sch_als_f">'[1]IV. Table 4'!$V$37</definedName>
    <definedName name="personnel_teach_handling_sch_als_m">'[1]IV. Table 4'!$R$37</definedName>
    <definedName name="personnel_teach_handling_spedcl_f">'[1]IV. Table 5'!$V$44</definedName>
    <definedName name="personnel_teach_handling_spedcl_m">'[1]IV. Table 5'!$R$44</definedName>
    <definedName name="personnel_teach_instructor1_actual_f">'[1]IV. Table 5'!$V$20</definedName>
    <definedName name="personnel_teach_instructor1_actual_m">'[1]IV. Table 5'!$R$20</definedName>
    <definedName name="personnel_teach_instructor1_actual_onleave">'[1]IV. Table 5'!$AD$20</definedName>
    <definedName name="personnel_teach_instructor1_borrowed_es">'[1]IV. Table 5'!$BF$20</definedName>
    <definedName name="personnel_teach_instructor1_borrowed_jhs">'[1]IV. Table 5'!$BJ$20</definedName>
    <definedName name="personnel_teach_instructor1_borrowed_odo">'[1]IV. Table 5'!$BR$20</definedName>
    <definedName name="personnel_teach_instructor1_borrowed_shs">'[1]IV. Table 5'!$BN$20</definedName>
    <definedName name="personnel_teach_instructor1_detailed_es">'[1]IV. Table 5'!$AP$20</definedName>
    <definedName name="personnel_teach_instructor1_detailed_hs">'[1]IV. Table 5'!$AL$20</definedName>
    <definedName name="personnel_teach_instructor1_detailed_outdiv">'[1]IV. Table 5'!$AT$20</definedName>
    <definedName name="personnel_teach_instructor1_vacant">'[1]IV. Table 5'!$AH$20</definedName>
    <definedName name="personnel_teach_instructor2_actual_f">'[1]IV. Table 5'!$V$19</definedName>
    <definedName name="personnel_teach_instructor2_actual_m">'[1]IV. Table 5'!$R$19</definedName>
    <definedName name="personnel_teach_instructor2_actual_onleave">'[1]IV. Table 5'!$AD$19</definedName>
    <definedName name="personnel_teach_instructor2_borrowed_es">'[1]IV. Table 5'!$BF$19</definedName>
    <definedName name="personnel_teach_instructor2_borrowed_jhs">'[1]IV. Table 5'!$BJ$19</definedName>
    <definedName name="personnel_teach_instructor2_borrowed_odo">'[1]IV. Table 5'!$BR$19</definedName>
    <definedName name="personnel_teach_instructor2_borrowed_shs">'[1]IV. Table 5'!$BN$19</definedName>
    <definedName name="personnel_teach_instructor2_detailed_es">'[1]IV. Table 5'!$AP$19</definedName>
    <definedName name="personnel_teach_instructor2_detailed_hs">'[1]IV. Table 5'!$AL$19</definedName>
    <definedName name="personnel_teach_instructor2_detailed_outdiv">'[1]IV. Table 5'!$AT$19</definedName>
    <definedName name="personnel_teach_instructor2_vacant">'[1]IV. Table 5'!$AH$19</definedName>
    <definedName name="personnel_teach_instructor3_actual_f">'[1]IV. Table 5'!$V$18</definedName>
    <definedName name="personnel_teach_instructor3_actual_m">'[1]IV. Table 5'!$R$18</definedName>
    <definedName name="personnel_teach_instructor3_actual_onleave">'[1]IV. Table 5'!$AD$18</definedName>
    <definedName name="personnel_teach_instructor3_borrowed_es">'[1]IV. Table 5'!$BF$18</definedName>
    <definedName name="personnel_teach_instructor3_borrowed_jhs">'[1]IV. Table 5'!$BJ$18</definedName>
    <definedName name="personnel_teach_instructor3_borrowed_odo">'[1]IV. Table 5'!$BR$18</definedName>
    <definedName name="personnel_teach_instructor3_borrowed_shs">'[1]IV. Table 5'!$BN$18</definedName>
    <definedName name="personnel_teach_instructor3_detailed_es">'[1]IV. Table 5'!$AP$18</definedName>
    <definedName name="personnel_teach_instructor3_detailed_hs">'[1]IV. Table 5'!$AL$18</definedName>
    <definedName name="personnel_teach_instructor3_detailed_outdiv">'[1]IV. Table 5'!$AT$18</definedName>
    <definedName name="personnel_teach_instructor3_vacant">'[1]IV. Table 5'!$AH$18</definedName>
    <definedName name="personnel_teach_mt1_actual_f">'[1]IV. Table 6'!$V$19</definedName>
    <definedName name="personnel_teach_mt1_actual_m">'[1]IV. Table 6'!$R$19</definedName>
    <definedName name="personnel_teach_mt1_borrowed">'[1]IV. Table 6'!$AL$19</definedName>
    <definedName name="personnel_teach_mt1_borrowed_es">'[1]IV. Table 5'!$BF$25</definedName>
    <definedName name="personnel_teach_mt1_borrowed_jhs">'[1]IV. Table 5'!$BJ$25</definedName>
    <definedName name="personnel_teach_mt1_borrowed_odo">'[1]IV. Table 5'!$BR$25</definedName>
    <definedName name="personnel_teach_mt1_borrowed_shs">'[1]IV. Table 5'!$BN$25</definedName>
    <definedName name="personnel_teach_mt1_detailed_es">'[1]IV. Table 5'!$AP$25</definedName>
    <definedName name="personnel_teach_mt1_detailed_hs">'[1]IV. Table 5'!$AL$25</definedName>
    <definedName name="personnel_teach_mt1_detailed_outdiv">'[1]IV. Table 5'!$AT$25</definedName>
    <definedName name="personnel_teach_mt1_fulltime_gte360">'[1]IV. Table 9'!$AA$17</definedName>
    <definedName name="personnel_teach_mt1_fulltime_less360">'[1]IV. Table 9'!$AH$17</definedName>
    <definedName name="personnel_teach_mt1_onleave">'[1]IV. Table 6'!$AD$19</definedName>
    <definedName name="personnel_teach_mt1_permanent">'[1]IV. Table 9'!$M$17</definedName>
    <definedName name="personnel_teach_mt1_provisional">'[1]IV. Table 9'!$T$17</definedName>
    <definedName name="personnel_teach_mt1_vacant">'[1]IV. Table 5'!$AH$25</definedName>
    <definedName name="personnel_teach_mt2_actual_f">'[1]IV. Table 6'!$V$18</definedName>
    <definedName name="personnel_teach_mt2_actual_m">'[1]IV. Table 6'!$R$18</definedName>
    <definedName name="personnel_teach_mt2_borrowed">'[1]IV. Table 6'!$AL$18</definedName>
    <definedName name="personnel_teach_mt2_borrowed_es">'[1]IV. Table 5'!$BF$24</definedName>
    <definedName name="personnel_teach_mt2_borrowed_jhs">'[1]IV. Table 5'!$BJ$24</definedName>
    <definedName name="personnel_teach_mt2_borrowed_odo">'[1]IV. Table 5'!$BR$24</definedName>
    <definedName name="personnel_teach_mt2_borrowed_shs">'[1]IV. Table 5'!$BN$24</definedName>
    <definedName name="personnel_teach_mt2_detailed_es">'[1]IV. Table 5'!$AP$24</definedName>
    <definedName name="personnel_teach_mt2_detailed_hs">'[1]IV. Table 5'!$AL$24</definedName>
    <definedName name="personnel_teach_mt2_detailed_outdiv">'[1]IV. Table 5'!$AT$24</definedName>
    <definedName name="personnel_teach_mt2_fulltime_gte360">'[1]IV. Table 9'!$AA$16</definedName>
    <definedName name="personnel_teach_mt2_fulltime_less360">'[1]IV. Table 9'!$AH$16</definedName>
    <definedName name="personnel_teach_mt2_onleave">'[1]IV. Table 6'!$AD$18</definedName>
    <definedName name="personnel_teach_mt2_permanent">'[1]IV. Table 9'!$M$16</definedName>
    <definedName name="personnel_teach_mt2_provisional">'[1]IV. Table 9'!$T$16</definedName>
    <definedName name="personnel_teach_mt2_vacant">'[1]IV. Table 5'!$AH$24</definedName>
    <definedName name="personnel_teach_mt3_actual_f">'[1]IV. Table 6'!$V$17</definedName>
    <definedName name="personnel_teach_mt3_actual_m">'[1]IV. Table 6'!$R$17</definedName>
    <definedName name="personnel_teach_mt3_borrowed">'[1]IV. Table 6'!$AL$17</definedName>
    <definedName name="personnel_teach_mt3_borrowed_es">'[1]IV. Table 5'!$BF$23</definedName>
    <definedName name="personnel_teach_mt3_borrowed_jhs">'[1]IV. Table 5'!$BJ$23</definedName>
    <definedName name="personnel_teach_mt3_borrowed_odo">'[1]IV. Table 5'!$BR$23</definedName>
    <definedName name="personnel_teach_mt3_borrowed_shs">'[1]IV. Table 5'!$BN$23</definedName>
    <definedName name="personnel_teach_mt3_detailed_es">'[1]IV. Table 5'!$AP$23</definedName>
    <definedName name="personnel_teach_mt3_detailed_hs">'[1]IV. Table 5'!$AL$23</definedName>
    <definedName name="personnel_teach_mt3_detailed_outdiv">'[1]IV. Table 5'!$AT$23</definedName>
    <definedName name="personnel_teach_mt3_fulltime_gte360">'[1]IV. Table 9'!$AA$15</definedName>
    <definedName name="personnel_teach_mt3_fulltime_less360">'[1]IV. Table 9'!$AH$15</definedName>
    <definedName name="personnel_teach_mt3_onleave">'[1]IV. Table 6'!$AD$17</definedName>
    <definedName name="personnel_teach_mt3_permanent">'[1]IV. Table 9'!$M$15</definedName>
    <definedName name="personnel_teach_mt3_provisional">'[1]IV. Table 9'!$T$15</definedName>
    <definedName name="personnel_teach_mt3_vacant">'[1]IV. Table 5'!$AH$23</definedName>
    <definedName name="personnel_teach_mt4_actual_f">'[1]IV. Table 6'!$V$16</definedName>
    <definedName name="personnel_teach_mt4_actual_m">'[1]IV. Table 6'!$R$16</definedName>
    <definedName name="personnel_teach_mt4_borrowed">'[1]IV. Table 6'!$AL$16</definedName>
    <definedName name="personnel_teach_mt4_borrowed_es">'[1]IV. Table 5'!$BF$22</definedName>
    <definedName name="personnel_teach_mt4_borrowed_jhs">'[1]IV. Table 5'!$BJ$22</definedName>
    <definedName name="personnel_teach_mt4_borrowed_odo">'[1]IV. Table 5'!$BR$22</definedName>
    <definedName name="personnel_teach_mt4_borrowed_shs">'[1]IV. Table 5'!$BN$22</definedName>
    <definedName name="personnel_teach_mt4_detailed_es">'[1]IV. Table 5'!$AP$22</definedName>
    <definedName name="personnel_teach_mt4_detailed_hs">'[1]IV. Table 5'!$AL$22</definedName>
    <definedName name="personnel_teach_mt4_detailed_outdiv">'[1]IV. Table 5'!$AT$22</definedName>
    <definedName name="personnel_teach_mt4_fulltime_gte360">'[1]IV. Table 9'!$AA$14</definedName>
    <definedName name="personnel_teach_mt4_fulltime_less360">'[1]IV. Table 9'!$AH$14</definedName>
    <definedName name="personnel_teach_mt4_onleave">'[1]IV. Table 6'!$AD$16</definedName>
    <definedName name="personnel_teach_mt4_permanent">'[1]IV. Table 9'!$M$14</definedName>
    <definedName name="personnel_teach_mt4_provisional">'[1]IV. Table 9'!$T$14</definedName>
    <definedName name="personnel_teach_mt4_vacant">'[1]IV. Table 5'!$AH$22</definedName>
    <definedName name="personnel_teach_mt5_actual_f">'[1]IV. Table 6'!$V$15</definedName>
    <definedName name="personnel_teach_mt5_actual_m">'[1]IV. Table 6'!$R$15</definedName>
    <definedName name="personnel_teach_mt5_borrowed">'[1]IV. Table 6'!$AL$15</definedName>
    <definedName name="personnel_teach_mt5_borrowed_es">'[1]IV. Table 5'!$BF$21</definedName>
    <definedName name="personnel_teach_mt5_borrowed_jhs">'[1]IV. Table 5'!$BJ$21</definedName>
    <definedName name="personnel_teach_mt5_borrowed_odo">'[1]IV. Table 5'!$BR$21</definedName>
    <definedName name="personnel_teach_mt5_borrowed_shs">'[1]IV. Table 5'!$BN$21</definedName>
    <definedName name="personnel_teach_mt5_detailed_es">'[1]IV. Table 5'!$AP$21</definedName>
    <definedName name="personnel_teach_mt5_detailed_hs">'[1]IV. Table 5'!$AL$21</definedName>
    <definedName name="personnel_teach_mt5_detailed_outdiv">'[1]IV. Table 5'!$AT$21</definedName>
    <definedName name="personnel_teach_mt5_fulltime_gte360">'[1]IV. Table 9'!$AA$13</definedName>
    <definedName name="personnel_teach_mt5_fulltime_less360">'[1]IV. Table 9'!$AH$13</definedName>
    <definedName name="personnel_teach_mt5_onleave">'[1]IV. Table 6'!$AD$15</definedName>
    <definedName name="personnel_teach_mt5_permanent">'[1]IV. Table 9'!$M$13</definedName>
    <definedName name="personnel_teach_mt5_provisional">'[1]IV. Table 9'!$T$13</definedName>
    <definedName name="personnel_teach_mt5_vacant">'[1]IV. Table 5'!$AH$21</definedName>
    <definedName name="personnel_teach_spedt1_actual_brrwdplantilla">'[1]IV. Table 4'!$AL$32</definedName>
    <definedName name="personnel_teach_spedt1_actual_f">'[1]IV. Table 4'!$V$32</definedName>
    <definedName name="personnel_teach_spedt1_actual_m">'[1]IV. Table 4'!$R$32</definedName>
    <definedName name="personnel_teach_spedt1_actual_onleave">'[1]IV. Table 4'!$AD$32</definedName>
    <definedName name="personnel_teach_spedt1_borrowed_es">'[1]IV. Table 5'!$BF$39</definedName>
    <definedName name="personnel_teach_spedt1_borrowed_jhs">'[1]IV. Table 5'!$BJ$39</definedName>
    <definedName name="personnel_teach_spedt1_borrowed_odo">'[1]IV. Table 5'!$BR$39</definedName>
    <definedName name="personnel_teach_spedt1_borrowed_shs">'[1]IV. Table 5'!$BN$39</definedName>
    <definedName name="personnel_teach_spedt1_detailed_es">'[1]IV. Table 5'!$AP$39</definedName>
    <definedName name="personnel_teach_spedt1_detailed_hs">'[1]IV. Table 5'!$AL$39</definedName>
    <definedName name="personnel_teach_spedt1_detailed_outdiv">'[1]IV. Table 5'!$AT$39</definedName>
    <definedName name="personnel_teach_spedt1_vacant">'[1]IV. Table 5'!$AH$39</definedName>
    <definedName name="personnel_teach_spedt2_actual_brrwdplantilla">'[1]IV. Table 4'!$AL$31</definedName>
    <definedName name="personnel_teach_spedt2_actual_f">'[1]IV. Table 4'!$V$31</definedName>
    <definedName name="personnel_teach_spedt2_actual_m">'[1]IV. Table 4'!$R$31</definedName>
    <definedName name="personnel_teach_spedt2_actual_onleave">'[1]IV. Table 4'!$AD$31</definedName>
    <definedName name="personnel_teach_spedt2_borrowed_es">'[1]IV. Table 5'!$BF$38</definedName>
    <definedName name="personnel_teach_spedt2_borrowed_jhs">'[1]IV. Table 5'!$BJ$38</definedName>
    <definedName name="personnel_teach_spedt2_borrowed_odo">'[1]IV. Table 5'!$BR$38</definedName>
    <definedName name="personnel_teach_spedt2_borrowed_shs">'[1]IV. Table 5'!$BN$38</definedName>
    <definedName name="personnel_teach_spedt2_detailed_es">'[1]IV. Table 5'!$AP$38</definedName>
    <definedName name="personnel_teach_spedt2_detailed_hs">'[1]IV. Table 5'!$AL$38</definedName>
    <definedName name="personnel_teach_spedt2_detailed_outdiv">'[1]IV. Table 5'!$AT$38</definedName>
    <definedName name="personnel_teach_spedt2_vacant">'[1]IV. Table 5'!$AH$38</definedName>
    <definedName name="personnel_teach_spedt3_actual_brrwdplantilla">'[1]IV. Table 4'!$AL$30</definedName>
    <definedName name="personnel_teach_spedt3_actual_f">'[1]IV. Table 4'!$V$30</definedName>
    <definedName name="personnel_teach_spedt3_actual_m">'[1]IV. Table 4'!$R$30</definedName>
    <definedName name="personnel_teach_spedt3_actual_onleave">'[1]IV. Table 4'!$AD$30</definedName>
    <definedName name="personnel_teach_spedt3_borrowed_es">'[1]IV. Table 5'!$BF$37</definedName>
    <definedName name="personnel_teach_spedt3_borrowed_jhs">'[1]IV. Table 5'!$BJ$37</definedName>
    <definedName name="personnel_teach_spedt3_borrowed_odo">'[1]IV. Table 5'!$BR$37</definedName>
    <definedName name="personnel_teach_spedt3_borrowed_shs">'[1]IV. Table 5'!$BN$37</definedName>
    <definedName name="personnel_teach_spedt3_detailed_es">'[1]IV. Table 5'!$AP$37</definedName>
    <definedName name="personnel_teach_spedt3_detailed_hs">'[1]IV. Table 5'!$AL$37</definedName>
    <definedName name="personnel_teach_spedt3_detailed_outdiv">'[1]IV. Table 5'!$AT$37</definedName>
    <definedName name="personnel_teach_spedt3_vacant">'[1]IV. Table 5'!$AH$37</definedName>
    <definedName name="personnel_teach_spedt4_actual_brrwdplantilla">'[1]IV. Table 4'!$AL$29</definedName>
    <definedName name="personnel_teach_spedt4_actual_f">'[1]IV. Table 4'!$V$29</definedName>
    <definedName name="personnel_teach_spedt4_actual_m">'[1]IV. Table 4'!$R$29</definedName>
    <definedName name="personnel_teach_spedt4_actual_onleave">'[1]IV. Table 4'!$AD$29</definedName>
    <definedName name="personnel_teach_spedt4_borrowed_es">'[1]IV. Table 5'!$BF$36</definedName>
    <definedName name="personnel_teach_spedt4_borrowed_jhs">'[1]IV. Table 5'!$BJ$36</definedName>
    <definedName name="personnel_teach_spedt4_borrowed_odo">'[1]IV. Table 5'!$BR$36</definedName>
    <definedName name="personnel_teach_spedt4_borrowed_shs">'[1]IV. Table 5'!$BN$36</definedName>
    <definedName name="personnel_teach_spedt4_detailed_es">'[1]IV. Table 5'!$AP$36</definedName>
    <definedName name="personnel_teach_spedt4_detailed_hs">'[1]IV. Table 5'!$AL$36</definedName>
    <definedName name="personnel_teach_spedt4_detailed_outdiv">'[1]IV. Table 5'!$AT$36</definedName>
    <definedName name="personnel_teach_spedt4_vacant">'[1]IV. Table 5'!$AH$36</definedName>
    <definedName name="personnel_teach_spedt5_actual_brrwdplantilla">'[1]IV. Table 4'!$AL$28</definedName>
    <definedName name="personnel_teach_spedt5_actual_f">'[1]IV. Table 4'!$V$28</definedName>
    <definedName name="personnel_teach_spedt5_actual_m">'[1]IV. Table 4'!$R$28</definedName>
    <definedName name="personnel_teach_spedt5_actual_onleave">'[1]IV. Table 4'!$AD$28</definedName>
    <definedName name="personnel_teach_spedt5_borrowed_es">'[1]IV. Table 5'!$BF$35</definedName>
    <definedName name="personnel_teach_spedt5_borrowed_jhs">'[1]IV. Table 5'!$BJ$35</definedName>
    <definedName name="personnel_teach_spedt5_borrowed_odo">'[1]IV. Table 5'!$BR$35</definedName>
    <definedName name="personnel_teach_spedt5_borrowed_shs">'[1]IV. Table 5'!$BN$35</definedName>
    <definedName name="personnel_teach_spedt5_detailed_es">'[1]IV. Table 5'!$AP$35</definedName>
    <definedName name="personnel_teach_spedt5_detailed_hs">'[1]IV. Table 5'!$AL$35</definedName>
    <definedName name="personnel_teach_spedt5_detailed_outdiv">'[1]IV. Table 5'!$AT$35</definedName>
    <definedName name="personnel_teach_spedt5_vacant">'[1]IV. Table 5'!$AH$35</definedName>
    <definedName name="personnel_teach_sst1_actual_f">'[1]IV. Table 6'!$V$28</definedName>
    <definedName name="personnel_teach_sst1_actual_m">'[1]IV. Table 6'!$R$28</definedName>
    <definedName name="personnel_teach_sst1_borrowed">'[1]IV. Table 6'!$AL$28</definedName>
    <definedName name="personnel_teach_sst1_borrowed_es">'[1]IV. Table 5'!$BF$34</definedName>
    <definedName name="personnel_teach_sst1_borrowed_jhs">'[1]IV. Table 5'!$BJ$34</definedName>
    <definedName name="personnel_teach_sst1_borrowed_odo">'[1]IV. Table 5'!$BR$34</definedName>
    <definedName name="personnel_teach_sst1_borrowed_shs">'[1]IV. Table 5'!$BN$34</definedName>
    <definedName name="personnel_teach_sst1_detailed_es">'[1]IV. Table 5'!$AP$34</definedName>
    <definedName name="personnel_teach_sst1_detailed_hs">'[1]IV. Table 5'!$AL$34</definedName>
    <definedName name="personnel_teach_sst1_detailed_outdiv">'[1]IV. Table 5'!$AT$34</definedName>
    <definedName name="personnel_teach_sst1_fulltime_gte360">'[1]IV. Table 9'!$AA$26</definedName>
    <definedName name="personnel_teach_sst1_fulltime_less360">'[1]IV. Table 9'!$AH$26</definedName>
    <definedName name="personnel_teach_sst1_onleave">'[1]IV. Table 6'!$AD$28</definedName>
    <definedName name="personnel_teach_sst1_permanent">'[1]IV. Table 9'!$M$26</definedName>
    <definedName name="personnel_teach_sst1_provisional">'[1]IV. Table 9'!$T$26</definedName>
    <definedName name="personnel_teach_sst1_vacant">'[1]IV. Table 5'!$AH$34</definedName>
    <definedName name="personnel_teach_sst2_actual_f">'[1]IV. Table 6'!$V$27</definedName>
    <definedName name="personnel_teach_sst2_actual_m">'[1]IV. Table 6'!$R$27</definedName>
    <definedName name="personnel_teach_sst2_borrowed">'[1]IV. Table 6'!$AL$27</definedName>
    <definedName name="personnel_teach_sst2_borrowed_es">'[1]IV. Table 5'!$BF$33</definedName>
    <definedName name="personnel_teach_sst2_borrowed_jhs">'[1]IV. Table 5'!$BJ$33</definedName>
    <definedName name="personnel_teach_sst2_borrowed_odo">'[1]IV. Table 5'!$BR$33</definedName>
    <definedName name="personnel_teach_sst2_borrowed_shs">'[1]IV. Table 5'!$BN$33</definedName>
    <definedName name="personnel_teach_sst2_detailed_es">'[1]IV. Table 5'!$AP$33</definedName>
    <definedName name="personnel_teach_sst2_detailed_hs">'[1]IV. Table 5'!$AL$33</definedName>
    <definedName name="personnel_teach_sst2_detailed_outdiv">'[1]IV. Table 5'!$AT$33</definedName>
    <definedName name="personnel_teach_sst2_fulltime_gte360">'[1]IV. Table 9'!$AA$25</definedName>
    <definedName name="personnel_teach_sst2_fulltime_less360">'[1]IV. Table 9'!$AH$25</definedName>
    <definedName name="personnel_teach_sst2_onleave">'[1]IV. Table 6'!$AD$27</definedName>
    <definedName name="personnel_teach_sst2_permanent">'[1]IV. Table 9'!$M$25</definedName>
    <definedName name="personnel_teach_sst2_provisional">'[1]IV. Table 9'!$T$25</definedName>
    <definedName name="personnel_teach_sst2_vacant">'[1]IV. Table 5'!$AH$33</definedName>
    <definedName name="personnel_teach_t1_actual_f">'[1]IV. Table 6'!$V$26</definedName>
    <definedName name="personnel_teach_t1_actual_m">'[1]IV. Table 6'!$R$26</definedName>
    <definedName name="personnel_teach_t1_borrowed">'[1]IV. Table 6'!$AL$26</definedName>
    <definedName name="personnel_teach_t1_borrowed_es">'[1]IV. Table 5'!$BF$32</definedName>
    <definedName name="personnel_teach_t1_borrowed_jhs">'[1]IV. Table 5'!$BJ$32</definedName>
    <definedName name="personnel_teach_t1_borrowed_odo">'[1]IV. Table 5'!$BR$32</definedName>
    <definedName name="personnel_teach_t1_borrowed_shs">'[1]IV. Table 5'!$BN$32</definedName>
    <definedName name="personnel_teach_t1_detailed_es">'[1]IV. Table 5'!$AP$32</definedName>
    <definedName name="personnel_teach_t1_detailed_hs">'[1]IV. Table 5'!$AL$32</definedName>
    <definedName name="personnel_teach_t1_detailed_outdiv">'[1]IV. Table 5'!$AT$32</definedName>
    <definedName name="personnel_teach_t1_fulltime_gte360">'[1]IV. Table 9'!$AA$24</definedName>
    <definedName name="personnel_teach_t1_fulltime_less360">'[1]IV. Table 9'!$AH$24</definedName>
    <definedName name="personnel_teach_t1_onleave">'[1]IV. Table 6'!$AD$26</definedName>
    <definedName name="personnel_teach_t1_permanent">'[1]IV. Table 9'!$M$24</definedName>
    <definedName name="personnel_teach_t1_provisional">'[1]IV. Table 9'!$T$24</definedName>
    <definedName name="personnel_teach_t1_vacant">'[1]IV. Table 5'!$AH$32</definedName>
    <definedName name="personnel_teach_t2_actual_f">'[1]IV. Table 6'!$V$25</definedName>
    <definedName name="personnel_teach_t2_actual_m">'[1]IV. Table 6'!$R$25</definedName>
    <definedName name="personnel_teach_t2_borrowed">'[1]IV. Table 6'!$AL$25</definedName>
    <definedName name="personnel_teach_t2_borrowed_es">'[1]IV. Table 5'!$BF$31</definedName>
    <definedName name="personnel_teach_t2_borrowed_jhs">'[1]IV. Table 5'!$BJ$31</definedName>
    <definedName name="personnel_teach_t2_borrowed_odo">'[1]IV. Table 5'!$BR$31</definedName>
    <definedName name="personnel_teach_t2_borrowed_shs">'[1]IV. Table 5'!$BN$31</definedName>
    <definedName name="personnel_teach_t2_detailed_es">'[1]IV. Table 5'!$AP$31</definedName>
    <definedName name="personnel_teach_t2_detailed_hs">'[1]IV. Table 5'!$AL$31</definedName>
    <definedName name="personnel_teach_t2_detailed_outdiv">'[1]IV. Table 5'!$AT$31</definedName>
    <definedName name="personnel_teach_t2_fulltime_gte360">'[1]IV. Table 9'!$AA$23</definedName>
    <definedName name="personnel_teach_t2_fulltime_less360">'[1]IV. Table 9'!$AH$23</definedName>
    <definedName name="personnel_teach_t2_onleave">'[1]IV. Table 6'!$AD$25</definedName>
    <definedName name="personnel_teach_t2_permanent">'[1]IV. Table 9'!$M$23</definedName>
    <definedName name="personnel_teach_t2_provisional">'[1]IV. Table 9'!$T$23</definedName>
    <definedName name="personnel_teach_t2_vacant">'[1]IV. Table 5'!$AH$31</definedName>
    <definedName name="personnel_teach_t3_actual_f">'[1]IV. Table 6'!$V$24</definedName>
    <definedName name="personnel_teach_t3_actual_m">'[1]IV. Table 6'!$R$24</definedName>
    <definedName name="personnel_teach_t3_borrowed">'[1]IV. Table 6'!$AL$24</definedName>
    <definedName name="personnel_teach_t3_borrowed_es">'[1]IV. Table 5'!$BF$30</definedName>
    <definedName name="personnel_teach_t3_borrowed_jhs">'[1]IV. Table 5'!$BJ$30</definedName>
    <definedName name="personnel_teach_t3_borrowed_odo">'[1]IV. Table 5'!$BR$30</definedName>
    <definedName name="personnel_teach_t3_borrowed_shs">'[1]IV. Table 5'!$BN$30</definedName>
    <definedName name="personnel_teach_t3_detailed_es">'[1]IV. Table 5'!$AP$30</definedName>
    <definedName name="personnel_teach_t3_detailed_hs">'[1]IV. Table 5'!$AL$30</definedName>
    <definedName name="personnel_teach_t3_detailed_outdiv">'[1]IV. Table 5'!$AT$30</definedName>
    <definedName name="personnel_teach_t3_fulltime_gte360">'[1]IV. Table 9'!$AA$22</definedName>
    <definedName name="personnel_teach_t3_fulltime_less360">'[1]IV. Table 9'!$AH$22</definedName>
    <definedName name="personnel_teach_t3_onleave">'[1]IV. Table 6'!$AD$24</definedName>
    <definedName name="personnel_teach_t3_permanent">'[1]IV. Table 9'!$M$22</definedName>
    <definedName name="personnel_teach_t3_provisional">'[1]IV. Table 9'!$T$22</definedName>
    <definedName name="personnel_teach_t3_vacant">'[1]IV. Table 5'!$AH$30</definedName>
    <definedName name="personnel_teach_t4_actual_f">'[1]IV. Table 6'!$V$23</definedName>
    <definedName name="personnel_teach_t4_actual_m">'[1]IV. Table 6'!$R$23</definedName>
    <definedName name="personnel_teach_t4_borrowed">'[1]IV. Table 6'!$AL$23</definedName>
    <definedName name="personnel_teach_t4_borrowed_es">'[1]IV. Table 5'!$BF$29</definedName>
    <definedName name="personnel_teach_t4_borrowed_jhs">'[1]IV. Table 5'!$BJ$29</definedName>
    <definedName name="personnel_teach_t4_borrowed_odo">'[1]IV. Table 5'!$BR$29</definedName>
    <definedName name="personnel_teach_t4_borrowed_shs">'[1]IV. Table 5'!$BN$29</definedName>
    <definedName name="personnel_teach_t4_detailed_es">'[1]IV. Table 5'!$AP$29</definedName>
    <definedName name="personnel_teach_t4_detailed_hs">'[1]IV. Table 5'!$AL$29</definedName>
    <definedName name="personnel_teach_t4_detailed_outdiv">'[1]IV. Table 5'!$AT$29</definedName>
    <definedName name="personnel_teach_t4_fulltime_gte360">'[1]IV. Table 9'!$AA$21</definedName>
    <definedName name="personnel_teach_t4_fulltime_less360">'[1]IV. Table 9'!$AH$21</definedName>
    <definedName name="personnel_teach_t4_onleave">'[1]IV. Table 6'!$AD$23</definedName>
    <definedName name="personnel_teach_t4_permanent">'[1]IV. Table 9'!$M$21</definedName>
    <definedName name="personnel_teach_t4_provisional">'[1]IV. Table 9'!$T$21</definedName>
    <definedName name="personnel_teach_t4_vacant">'[1]IV. Table 5'!$AH$29</definedName>
    <definedName name="personnel_teach_t5_actual_f">'[1]IV. Table 6'!$V$22</definedName>
    <definedName name="personnel_teach_t5_actual_m">'[1]IV. Table 6'!$R$22</definedName>
    <definedName name="personnel_teach_t5_borrowed">'[1]IV. Table 6'!$AL$22</definedName>
    <definedName name="personnel_teach_t5_borrowed_es">'[1]IV. Table 5'!$BF$28</definedName>
    <definedName name="personnel_teach_t5_borrowed_jhs">'[1]IV. Table 5'!$BJ$28</definedName>
    <definedName name="personnel_teach_t5_borrowed_odo">'[1]IV. Table 5'!$BR$28</definedName>
    <definedName name="personnel_teach_t5_borrowed_shs">'[1]IV. Table 5'!$BN$28</definedName>
    <definedName name="personnel_teach_t5_detailed_es">'[1]IV. Table 5'!$AP$28</definedName>
    <definedName name="personnel_teach_t5_detailed_hs">'[1]IV. Table 5'!$AL$28</definedName>
    <definedName name="personnel_teach_t5_detailed_outdiv">'[1]IV. Table 5'!$AT$28</definedName>
    <definedName name="personnel_teach_t5_fulltime_gte360">'[1]IV. Table 9'!$AA$20</definedName>
    <definedName name="personnel_teach_t5_fulltime_less360">'[1]IV. Table 9'!$AH$20</definedName>
    <definedName name="personnel_teach_t5_onleave">'[1]IV. Table 6'!$AD$22</definedName>
    <definedName name="personnel_teach_t5_permanent">'[1]IV. Table 9'!$M$20</definedName>
    <definedName name="personnel_teach_t5_provisional">'[1]IV. Table 9'!$T$20</definedName>
    <definedName name="personnel_teach_t5_vacant">'[1]IV. Table 5'!$AH$28</definedName>
    <definedName name="personnel_teach_t6_actual_f">'[1]IV. Table 6'!$V$21</definedName>
    <definedName name="personnel_teach_t6_actual_m">'[1]IV. Table 6'!$R$21</definedName>
    <definedName name="personnel_teach_t6_borrowed">'[1]IV. Table 6'!$AL$21</definedName>
    <definedName name="personnel_teach_t6_borrowed_es">'[1]IV. Table 5'!$BF$27</definedName>
    <definedName name="personnel_teach_t6_borrowed_jhs">'[1]IV. Table 5'!$BJ$27</definedName>
    <definedName name="personnel_teach_t6_borrowed_odo">'[1]IV. Table 5'!$BR$27</definedName>
    <definedName name="personnel_teach_t6_borrowed_shs">'[1]IV. Table 5'!$BN$27</definedName>
    <definedName name="personnel_teach_t6_detailed_es">'[1]IV. Table 5'!$AP$27</definedName>
    <definedName name="personnel_teach_t6_detailed_hs">'[1]IV. Table 5'!$AL$27</definedName>
    <definedName name="personnel_teach_t6_detailed_outdiv">'[1]IV. Table 5'!$AT$27</definedName>
    <definedName name="personnel_teach_t6_fulltime_gte360">'[1]IV. Table 9'!$AA$19</definedName>
    <definedName name="personnel_teach_t6_fulltime_less360">'[1]IV. Table 9'!$AH$19</definedName>
    <definedName name="personnel_teach_t6_onleave">'[1]IV. Table 6'!$AD$21</definedName>
    <definedName name="personnel_teach_t6_permanent">'[1]IV. Table 9'!$M$19</definedName>
    <definedName name="personnel_teach_t6_provisional">'[1]IV. Table 9'!$T$19</definedName>
    <definedName name="personnel_teach_t6_vacant">'[1]IV. Table 5'!$AH$27</definedName>
    <definedName name="personnel_teach_t7_actual_f">'[1]IV. Table 6'!$V$20</definedName>
    <definedName name="personnel_teach_t7_actual_m">'[1]IV. Table 6'!$R$20</definedName>
    <definedName name="personnel_teach_t7_borrowed">'[1]IV. Table 6'!$AL$20</definedName>
    <definedName name="personnel_teach_t7_borrowed_es">'[1]IV. Table 5'!$BF$26</definedName>
    <definedName name="personnel_teach_t7_borrowed_jhs">'[1]IV. Table 5'!$BJ$26</definedName>
    <definedName name="personnel_teach_t7_borrowed_odo">'[1]IV. Table 5'!$BR$26</definedName>
    <definedName name="personnel_teach_t7_borrowed_shs">'[1]IV. Table 5'!$BN$26</definedName>
    <definedName name="personnel_teach_t7_detailed_es">'[1]IV. Table 5'!$AP$26</definedName>
    <definedName name="personnel_teach_t7_detailed_hs">'[1]IV. Table 5'!$AL$26</definedName>
    <definedName name="personnel_teach_t7_detailed_outdiv">'[1]IV. Table 5'!$AT$26</definedName>
    <definedName name="personnel_teach_t7_fulltime_gte360">'[1]IV. Table 9'!$AA$18</definedName>
    <definedName name="personnel_teach_t7_fulltime_less360">'[1]IV. Table 9'!$AH$18</definedName>
    <definedName name="personnel_teach_t7_onleave">'[1]IV. Table 6'!$AD$20</definedName>
    <definedName name="personnel_teach_t7_permanent">'[1]IV. Table 9'!$M$18</definedName>
    <definedName name="personnel_teach_t7_provisional">'[1]IV. Table 9'!$T$18</definedName>
    <definedName name="personnel_teach_t7_vacant">'[1]IV. Table 5'!$AH$26</definedName>
    <definedName name="personnel_teaching_mt1_actual_brrwdplantilla">'[1]IV. Table 4'!$AL$20</definedName>
    <definedName name="personnel_teaching_mt1_actual_f">'[1]IV. Table 4'!$V$20</definedName>
    <definedName name="personnel_teaching_mt1_actual_m">'[1]IV. Table 4'!$R$20</definedName>
    <definedName name="personnel_teaching_mt1_actual_onleave">'[1]IV. Table 4'!$AD$20</definedName>
    <definedName name="personnel_teaching_mt2_actual_brrwdplantilla">'[1]IV. Table 4'!$AL$19</definedName>
    <definedName name="personnel_teaching_mt2_actual_f">'[1]IV. Table 4'!$V$19</definedName>
    <definedName name="personnel_teaching_mt2_actual_m">'[1]IV. Table 4'!$R$19</definedName>
    <definedName name="personnel_teaching_mt2_actual_onleave">'[1]IV. Table 4'!$AD$19</definedName>
    <definedName name="personnel_teaching_mt3_actual_brrwdplantilla">'[1]IV. Table 4'!$AL$18</definedName>
    <definedName name="personnel_teaching_mt3_actual_f">'[1]IV. Table 4'!$V$18</definedName>
    <definedName name="personnel_teaching_mt3_actual_m">'[1]IV. Table 4'!$R$18</definedName>
    <definedName name="personnel_teaching_mt3_actual_onleave">'[1]IV. Table 4'!$AD$18</definedName>
    <definedName name="personnel_teaching_mt4_actual_brrwdplantilla">'[1]IV. Table 4'!$AL$17</definedName>
    <definedName name="personnel_teaching_mt4_actual_f">'[1]IV. Table 4'!$V$17</definedName>
    <definedName name="personnel_teaching_mt4_actual_m">'[1]IV. Table 4'!$R$17</definedName>
    <definedName name="personnel_teaching_mt4_actual_onleave">'[1]IV. Table 4'!$AD$17</definedName>
    <definedName name="personnel_teaching_mt5_actual_brrwdplantilla">'[1]IV. Table 4'!$AL$16</definedName>
    <definedName name="personnel_teaching_mt5_actual_f">'[1]IV. Table 4'!$V$16</definedName>
    <definedName name="personnel_teaching_mt5_actual_m">'[1]IV. Table 4'!$R$16</definedName>
    <definedName name="personnel_teaching_mt5_actual_onleave">'[1]IV. Table 4'!$AD$16</definedName>
    <definedName name="personnel_teaching_spedt1_actual_f">'[1]IV. Table 5'!$V$39</definedName>
    <definedName name="personnel_teaching_spedt1_actual_m">'[1]IV. Table 5'!$R$39</definedName>
    <definedName name="personnel_teaching_spedt1_actual_onleave">'[1]IV. Table 5'!$AD$39</definedName>
    <definedName name="personnel_teaching_spedt2_actual_f">'[1]IV. Table 5'!$V$38</definedName>
    <definedName name="personnel_teaching_spedt2_actual_m">'[1]IV. Table 5'!$R$38</definedName>
    <definedName name="personnel_teaching_spedt2_actual_onleave">'[1]IV. Table 5'!$AD$38</definedName>
    <definedName name="personnel_teaching_spedt3_actual_f">'[1]IV. Table 5'!$V$37</definedName>
    <definedName name="personnel_teaching_spedt3_actual_m">'[1]IV. Table 5'!$R$37</definedName>
    <definedName name="personnel_teaching_spedt3_actual_onleave">'[1]IV. Table 5'!$AD$37</definedName>
    <definedName name="personnel_teaching_spedt4_actual_f">'[1]IV. Table 5'!$V$36</definedName>
    <definedName name="personnel_teaching_spedt4_actual_m">'[1]IV. Table 5'!$R$36</definedName>
    <definedName name="personnel_teaching_spedt4_actual_onleave">'[1]IV. Table 5'!$AD$36</definedName>
    <definedName name="personnel_teaching_spedt5_actual_f">'[1]IV. Table 5'!$V$35</definedName>
    <definedName name="personnel_teaching_spedt5_actual_m">'[1]IV. Table 5'!$R$35</definedName>
    <definedName name="personnel_teaching_spedt5_actual_onleave">'[1]IV. Table 5'!$AD$35</definedName>
    <definedName name="personnel_teaching_t1_actual_brrwdplantilla">'[1]IV. Table 4'!$AL$27</definedName>
    <definedName name="personnel_teaching_t1_actual_f">'[1]IV. Table 4'!$V$27</definedName>
    <definedName name="personnel_teaching_t1_actual_m">'[1]IV. Table 4'!$R$27</definedName>
    <definedName name="personnel_teaching_t1_actual_onleave">'[1]IV. Table 4'!$AD$27</definedName>
    <definedName name="personnel_teaching_t2_actual_brrwdplantilla">'[1]IV. Table 4'!$AL$26</definedName>
    <definedName name="personnel_teaching_t2_actual_f">'[1]IV. Table 4'!$V$26</definedName>
    <definedName name="personnel_teaching_t2_actual_m">'[1]IV. Table 4'!$R$26</definedName>
    <definedName name="personnel_teaching_t2_actual_onleave">'[1]IV. Table 4'!$AD$26</definedName>
    <definedName name="personnel_teaching_t3_actual_brrwdplantilla">'[1]IV. Table 4'!$AL$25</definedName>
    <definedName name="personnel_teaching_t3_actual_f">'[1]IV. Table 4'!$V$25</definedName>
    <definedName name="personnel_teaching_t3_actual_m">'[1]IV. Table 4'!$R$25</definedName>
    <definedName name="personnel_teaching_t3_actual_onleave">'[1]IV. Table 4'!$AD$25</definedName>
    <definedName name="personnel_teaching_t4_actual_brrwdplantilla">'[1]IV. Table 4'!$AL$24</definedName>
    <definedName name="personnel_teaching_t4_actual_f">'[1]IV. Table 4'!$V$24</definedName>
    <definedName name="personnel_teaching_t4_actual_m">'[1]IV. Table 4'!$R$24</definedName>
    <definedName name="personnel_teaching_t4_actual_onleave">'[1]IV. Table 4'!$AD$24</definedName>
    <definedName name="personnel_teaching_t5_actual_brrwdplantilla">'[1]IV. Table 4'!$AL$23</definedName>
    <definedName name="personnel_teaching_t5_actual_f">'[1]IV. Table 4'!$V$23</definedName>
    <definedName name="personnel_teaching_t5_actual_m">'[1]IV. Table 4'!$R$23</definedName>
    <definedName name="personnel_teaching_t5_actual_onleave">'[1]IV. Table 4'!$AD$23</definedName>
    <definedName name="personnel_teaching_t6_actual_brrwdplantilla">'[1]IV. Table 4'!$AL$22</definedName>
    <definedName name="personnel_teaching_t6_actual_f">'[1]IV. Table 4'!$V$22</definedName>
    <definedName name="personnel_teaching_t6_actual_m">'[1]IV. Table 4'!$R$22</definedName>
    <definedName name="personnel_teaching_t6_actual_onleave">'[1]IV. Table 4'!$AD$22</definedName>
    <definedName name="personnel_teaching_t7_actual_brrwdplantilla">'[1]IV. Table 4'!$AL$21</definedName>
    <definedName name="personnel_teaching_t7_actual_f">'[1]IV. Table 4'!$V$21</definedName>
    <definedName name="personnel_teaching_t7_actual_m">'[1]IV. Table 4'!$R$21</definedName>
    <definedName name="personnel_teaching_t7_actual_onleave">'[1]IV. Table 4'!$AD$21</definedName>
    <definedName name="personnel_teachjhs_mt1_actual_f">'[1]IV. Table 5'!$V$25</definedName>
    <definedName name="personnel_teachjhs_mt1_actual_m">'[1]IV. Table 5'!$R$25</definedName>
    <definedName name="personnel_teachjhs_mt1_actual_onleave">'[1]IV. Table 5'!$AD$25</definedName>
    <definedName name="personnel_teachjhs_mt2_actual_f">'[1]IV. Table 5'!$V$24</definedName>
    <definedName name="personnel_teachjhs_mt2_actual_m">'[1]IV. Table 5'!$R$24</definedName>
    <definedName name="personnel_teachjhs_mt2_actual_onleave">'[1]IV. Table 5'!$AD$24</definedName>
    <definedName name="personnel_teachjhs_mt3_actual_f">'[1]IV. Table 5'!$V$23</definedName>
    <definedName name="personnel_teachjhs_mt3_actual_m">'[1]IV. Table 5'!$R$23</definedName>
    <definedName name="personnel_teachjhs_mt3_actual_onleave">'[1]IV. Table 5'!$AD$23</definedName>
    <definedName name="personnel_teachjhs_mt4_actual_f">'[1]IV. Table 5'!$V$22</definedName>
    <definedName name="personnel_teachjhs_mt4_actual_m">'[1]IV. Table 5'!$R$22</definedName>
    <definedName name="personnel_teachjhs_mt4_actual_onleave">'[1]IV. Table 5'!$AD$22</definedName>
    <definedName name="personnel_teachjhs_mt5_actual_f">'[1]IV. Table 5'!$V$21</definedName>
    <definedName name="personnel_teachjhs_mt5_actual_m">'[1]IV. Table 5'!$R$21</definedName>
    <definedName name="personnel_teachjhs_mt5_actual_onleave">'[1]IV. Table 5'!$AD$21</definedName>
    <definedName name="personnel_teachjhs_sst1_actual_f">'[1]IV. Table 5'!$V$34</definedName>
    <definedName name="personnel_teachjhs_sst1_actual_m">'[1]IV. Table 5'!$R$34</definedName>
    <definedName name="personnel_teachjhs_sst1_actual_onleave">'[1]IV. Table 5'!$AD$34</definedName>
    <definedName name="personnel_teachjhs_sst2_actual_f">'[1]IV. Table 5'!$V$33</definedName>
    <definedName name="personnel_teachjhs_sst2_actual_m">'[1]IV. Table 5'!$R$33</definedName>
    <definedName name="personnel_teachjhs_sst2_actual_onleave">'[1]IV. Table 5'!$AD$33</definedName>
    <definedName name="personnel_teachjhs_t1_actual_f">'[1]IV. Table 5'!$V$32</definedName>
    <definedName name="personnel_teachjhs_t1_actual_m">'[1]IV. Table 5'!$R$32</definedName>
    <definedName name="personnel_teachjhs_t1_actual_onleave">'[1]IV. Table 5'!$AD$32</definedName>
    <definedName name="personnel_teachjhs_t2_actual_f">'[1]IV. Table 5'!$V$31</definedName>
    <definedName name="personnel_teachjhs_t2_actual_m">'[1]IV. Table 5'!$R$31</definedName>
    <definedName name="personnel_teachjhs_t2_actual_onleave">'[1]IV. Table 5'!$AD$31</definedName>
    <definedName name="personnel_teachjhs_t3_actual_f">'[1]IV. Table 5'!$V$30</definedName>
    <definedName name="personnel_teachjhs_t3_actual_m">'[1]IV. Table 5'!$R$30</definedName>
    <definedName name="personnel_teachjhs_t3_actual_onleave">'[1]IV. Table 5'!$AD$30</definedName>
    <definedName name="personnel_teachjhs_t4_actual_f">'[1]IV. Table 5'!$V$29</definedName>
    <definedName name="personnel_teachjhs_t4_actual_m">'[1]IV. Table 5'!$R$29</definedName>
    <definedName name="personnel_teachjhs_t4_actual_onleave">'[1]IV. Table 5'!$AD$29</definedName>
    <definedName name="personnel_teachjhs_t5_actual_f">'[1]IV. Table 5'!$V$28</definedName>
    <definedName name="personnel_teachjhs_t5_actual_m">'[1]IV. Table 5'!$R$28</definedName>
    <definedName name="personnel_teachjhs_t5_actual_onleave">'[1]IV. Table 5'!$AD$28</definedName>
    <definedName name="personnel_teachjhs_t6_actual_f">'[1]IV. Table 5'!$V$27</definedName>
    <definedName name="personnel_teachjhs_t6_actual_m">'[1]IV. Table 5'!$R$27</definedName>
    <definedName name="personnel_teachjhs_t6_actual_onleave">'[1]IV. Table 5'!$AD$27</definedName>
    <definedName name="personnel_teachjhs_t7_actual_f">'[1]IV. Table 5'!$V$26</definedName>
    <definedName name="personnel_teachjhs_t7_actual_m">'[1]IV. Table 5'!$R$26</definedName>
    <definedName name="personnel_teachjhs_t7_actual_onleave">'[1]IV. Table 5'!$AD$26</definedName>
    <definedName name="personnel_utilityworkerI_actual_total">'[1]IV. Table 1'!$Z$48</definedName>
    <definedName name="personnel_utilityworkerI_natl_fund_total_es">'[1]IV. Table 1'!$AP$48</definedName>
    <definedName name="personnel_utilityworkerI_num_pos_assigned_total">'[1]IV. Table 1'!$AH$48</definedName>
    <definedName name="personnel_watchman_actual_total">'[1]IV. Table 1'!$Z$47</definedName>
    <definedName name="personnel_watchman_natl_fund_total_es">'[1]IV. Table 1'!$AP$47</definedName>
    <definedName name="personnel_watchman_num_pos_assigned_total">'[1]IV. Table 1'!$AH$47</definedName>
    <definedName name="phyfacoor_doengr_name">'[1]Part VII. Electrical Supply'!$D$24</definedName>
    <definedName name="phyfacoor_doengr_pos">'[1]Part VII. Electrical Supply'!$E$28</definedName>
    <definedName name="po_name">'[1]School Profile'!$R$47</definedName>
    <definedName name="previous_sy_trained_drugprevention_g10">'IX. Boxes 7 to 9'!$M$17</definedName>
    <definedName name="previous_sy_trained_drugprevention_g11">'IX. Boxes 7 to 9'!$S$17</definedName>
    <definedName name="previous_sy_trained_drugprevention_g12">'IX. Boxes 7 to 9'!$V$17</definedName>
    <definedName name="previous_sy_trained_drugprevention_g7">'IX. Boxes 7 to 9'!$D$17</definedName>
    <definedName name="previous_sy_trained_drugprevention_g8">'IX. Boxes 7 to 9'!$G$17</definedName>
    <definedName name="previous_sy_trained_drugprevention_g9">'IX. Boxes 7 to 9'!$J$17</definedName>
    <definedName name="response_interv_partner_donation_number">'[1]XII. Box 3 (Part 3)'!$Q$12</definedName>
    <definedName name="response_interv_partner_emerfeeding_number">'[1]XII. Box 3 (Part 3)'!$Q$14</definedName>
    <definedName name="response_interv_partner_hygienekit_number">'[1]XII. Box 3 (Part 3)'!$Q$16</definedName>
    <definedName name="response_interv_partner_learnerkit_number">'[1]XII. Box 3 (Part 3)'!$Q$18</definedName>
    <definedName name="response_interv_partner_material_adm_number">'[1]XII. Box 3 (Part 3)'!$AJ$12</definedName>
    <definedName name="response_interv_partner_material_mhpss_number">'[1]XII. Box 3 (Part 3)'!$AJ$14</definedName>
    <definedName name="response_interv_partner_teacherkit_number">'[1]XII. Box 3 (Part 3)'!$Q$20</definedName>
    <definedName name="response_interv_partner_temp_learningspace_number">'[1]XII. Box 3 (Part 3)'!$AJ$16</definedName>
    <definedName name="response_interv_partner_temp_wash_number">'[1]XII. Box 3 (Part 3)'!$AJ$18</definedName>
    <definedName name="resump_strat_class_shift">'[1]XII. Box 3 (Part 3)'!$E$38</definedName>
    <definedName name="resump_strat_class_shift_number">'[1]XII. Box 3 (Part 3)'!$P$38</definedName>
    <definedName name="resump_strat_makeup_class">'[1]XII. Box 3 (Part 3)'!$E$39</definedName>
    <definedName name="resump_strat_makeup_class_number">'[1]XII. Box 3 (Part 3)'!$P$39</definedName>
    <definedName name="resump_strat_modular_learning">'[1]XII. Box 3 (Part 3)'!$E$40</definedName>
    <definedName name="resump_strat_modular_learning_number">'[1]XII. Box 3 (Part 3)'!$P$40</definedName>
    <definedName name="resump_strat_online_learning">'[1]XII. Box 3 (Part 3)'!$E$41</definedName>
    <definedName name="resump_strat_online_learning_number">'[1]XII. Box 3 (Part 3)'!$P$41</definedName>
    <definedName name="resump_strat_peer_learning">'[1]XII. Box 3 (Part 3)'!$E$42</definedName>
    <definedName name="resump_strat_peer_learning_number">'[1]XII. Box 3 (Part 3)'!$P$42</definedName>
    <definedName name="resump_strat_prog_teaching">'[1]XII. Box 3 (Part 3)'!$E$43</definedName>
    <definedName name="resump_strat_prog_teaching_number">'[1]XII. Box 3 (Part 3)'!$P$43</definedName>
    <definedName name="riskreduce_ccam_abm_g11">'[1]XII. Box 4 (Part 1)'!$AI$34</definedName>
    <definedName name="riskreduce_ccam_abm_g12">'[1]XII. Box 4 (Part 1)'!$AO$34</definedName>
    <definedName name="riskreduce_ccam_agrifish_g11">'[1]XII. Box 4 (Part 1)'!$AI$38</definedName>
    <definedName name="riskreduce_ccam_agrifish_g12">'[1]XII. Box 4 (Part 1)'!$AO$38</definedName>
    <definedName name="riskreduce_ccam_artsdesign_g11">'[1]XII. Box 4 (Part 1)'!$AI$42</definedName>
    <definedName name="riskreduce_ccam_artsdesign_g12">'[1]XII. Box 4 (Part 1)'!$AO$42</definedName>
    <definedName name="riskreduce_ccam_gas_g11">'[1]XII. Box 4 (Part 1)'!$AI$37</definedName>
    <definedName name="riskreduce_ccam_gas_g12">'[1]XII. Box 4 (Part 1)'!$AO$37</definedName>
    <definedName name="riskreduce_ccam_he_g11">'[1]XII. Box 4 (Part 1)'!$AI$39</definedName>
    <definedName name="riskreduce_ccam_he_g12">'[1]XII. Box 4 (Part 1)'!$AO$39</definedName>
    <definedName name="riskreduce_ccam_humss_g11">'[1]XII. Box 4 (Part 1)'!$AI$35</definedName>
    <definedName name="riskreduce_ccam_humss_g12">'[1]XII. Box 4 (Part 1)'!$AO$35</definedName>
    <definedName name="riskreduce_ccam_ict_g11">'[1]XII. Box 4 (Part 1)'!$AI$40</definedName>
    <definedName name="riskreduce_ccam_ict_g12">'[1]XII. Box 4 (Part 1)'!$AO$40</definedName>
    <definedName name="riskreduce_ccam_sports_g11">'[1]XII. Box 4 (Part 1)'!$AI$41</definedName>
    <definedName name="riskreduce_ccam_sports_g12">'[1]XII. Box 4 (Part 1)'!$AO$41</definedName>
    <definedName name="riskreduce_ccam_stem_g11">'[1]XII. Box 4 (Part 1)'!$AI$36</definedName>
    <definedName name="riskreduce_ccam_stem_g12">'[1]XII. Box 4 (Part 1)'!$AO$36</definedName>
    <definedName name="riskreduce_drrm_abm_g11">'[1]XII. Box 4 (Part 1)'!$W$34</definedName>
    <definedName name="riskreduce_drrm_abm_g12">'[1]XII. Box 4 (Part 1)'!$AC$34</definedName>
    <definedName name="riskreduce_drrm_agrifish_g11">'[1]XII. Box 4 (Part 1)'!$W$38</definedName>
    <definedName name="riskreduce_drrm_agrifish_g12">'[1]XII. Box 4 (Part 1)'!$AC$38</definedName>
    <definedName name="riskreduce_drrm_artsdesign_g11">'[1]XII. Box 4 (Part 1)'!$W$42</definedName>
    <definedName name="riskreduce_drrm_artsdesign_g12">'[1]XII. Box 4 (Part 1)'!$AC$42</definedName>
    <definedName name="riskreduce_drrm_gas_g11">'[1]XII. Box 4 (Part 1)'!$W$37</definedName>
    <definedName name="riskreduce_drrm_gas_g12">'[1]XII. Box 4 (Part 1)'!$AC$37</definedName>
    <definedName name="riskreduce_drrm_he_g11">'[1]XII. Box 4 (Part 1)'!$W$39</definedName>
    <definedName name="riskreduce_drrm_he_g12">'[1]XII. Box 4 (Part 1)'!$AC$39</definedName>
    <definedName name="riskreduce_drrm_humss_g11">'[1]XII. Box 4 (Part 1)'!$W$35</definedName>
    <definedName name="riskreduce_drrm_humss_g12">'[1]XII. Box 4 (Part 1)'!$AC$35</definedName>
    <definedName name="riskreduce_drrm_ict_g11">'[1]XII. Box 4 (Part 1)'!$W$40</definedName>
    <definedName name="riskreduce_drrm_ict_g12">'[1]XII. Box 4 (Part 1)'!$AC$40</definedName>
    <definedName name="riskreduce_drrm_sports_g11">'[1]XII. Box 4 (Part 1)'!$W$41</definedName>
    <definedName name="riskreduce_drrm_sports_g12">'[1]XII. Box 4 (Part 1)'!$AC$41</definedName>
    <definedName name="riskreduce_drrm_stem_g11">'[1]XII. Box 4 (Part 1)'!$W$36</definedName>
    <definedName name="riskreduce_drrm_stem_g12">'[1]XII. Box 4 (Part 1)'!$AC$36</definedName>
    <definedName name="sch_add_brgy">'[1]School Profile'!$N$25</definedName>
    <definedName name="sch_add_mun_city">'[1]School Profile'!$G$27</definedName>
    <definedName name="sch_add_no">'[1]School Profile'!$G$25</definedName>
    <definedName name="sch_add_prov">'[1]School Profile'!$N$27</definedName>
    <definedName name="sch_add_street">'[1]School Profile'!$I$25</definedName>
    <definedName name="sch_add_zip">'[1]School Profile'!$T$27</definedName>
    <definedName name="sch_annex_extension">'[1]School Profile'!$C$31</definedName>
    <definedName name="sch_annex_extension_mother_sch_id">'[1]School Profile'!$K$32</definedName>
    <definedName name="sch_ap_ccam_g10">'[1]XII. Box 4 (Part 1)'!$AR$24</definedName>
    <definedName name="sch_ap_ccam_g7">'[1]XII. Box 4 (Part 1)'!$AI$24</definedName>
    <definedName name="sch_ap_ccam_g8">'[1]XII. Box 4 (Part 1)'!$AL$24</definedName>
    <definedName name="sch_ap_ccam_g9">'[1]XII. Box 4 (Part 1)'!$AO$24</definedName>
    <definedName name="sch_ap_drrm_g10">'[1]XII. Box 4 (Part 1)'!$AF$24</definedName>
    <definedName name="sch_ap_drrm_g7">'[1]XII. Box 4 (Part 1)'!$W$24</definedName>
    <definedName name="sch_ap_drrm_g8">'[1]XII. Box 4 (Part 1)'!$Z$24</definedName>
    <definedName name="sch_ap_drrm_g9">'[1]XII. Box 4 (Part 1)'!$AC$24</definedName>
    <definedName name="sch_avail_sp_sportsclub_aerogymn">'[1]XI. Box 1'!$Z$23</definedName>
    <definedName name="sch_avail_sp_sportsclub_aerogymn_shs">'[1]XI. Box 1'!$BD$23</definedName>
    <definedName name="sch_avail_sp_sportsclub_arch">'[1]XI. Box 1'!$Z$10</definedName>
    <definedName name="sch_avail_sp_sportsclub_arch_shs">'[1]XI. Box 1'!$BD$10</definedName>
    <definedName name="sch_avail_sp_sportsclub_arnis">'[1]XI. Box 1'!$Z$11</definedName>
    <definedName name="sch_avail_sp_sportsclub_arnis_shs">'[1]XI. Box 1'!$BD$11</definedName>
    <definedName name="sch_avail_sp_sportsclub_athleticsparagame">'[1]XI. Box 1'!$Z$37</definedName>
    <definedName name="sch_avail_sp_sportsclub_athleticsparagame_shs">'[1]XI. Box 1'!$BD$37</definedName>
    <definedName name="sch_avail_sp_sportsclub_athlrun">'[1]XI. Box 1'!$Z$13</definedName>
    <definedName name="sch_avail_sp_sportsclub_athlrun_shs">'[1]XI. Box 1'!$BD$13</definedName>
    <definedName name="sch_avail_sp_sportsclub_athlthrow">'[1]XI. Box 1'!$Z$12</definedName>
    <definedName name="sch_avail_sp_sportsclub_athlthrow_shs">'[1]XI. Box 1'!$BD$12</definedName>
    <definedName name="sch_avail_sp_sportsclub_badm">'[1]XI. Box 1'!$Z$14</definedName>
    <definedName name="sch_avail_sp_sportsclub_badm_shs">'[1]XI. Box 1'!$BD$14</definedName>
    <definedName name="sch_avail_sp_sportsclub_baseball">'[1]XI. Box 1'!$Z$16</definedName>
    <definedName name="sch_avail_sp_sportsclub_baseball_shs">'[1]XI. Box 1'!$BD$16</definedName>
    <definedName name="sch_avail_sp_sportsclub_basket">'[1]XI. Box 1'!$Z$15</definedName>
    <definedName name="sch_avail_sp_sportsclub_basket_shs">'[1]XI. Box 1'!$BD$15</definedName>
    <definedName name="sch_avail_sp_sportsclub_billard">'[1]XI. Box 1'!$Z$17</definedName>
    <definedName name="sch_avail_sp_sportsclub_billard_shs">'[1]XI. Box 1'!$BD$17</definedName>
    <definedName name="sch_avail_sp_sportsclub_bocce">'[1]XI. Box 1'!$Z$40</definedName>
    <definedName name="sch_avail_sp_sportsclub_bocce_shs">'[1]XI. Box 1'!$BD$40</definedName>
    <definedName name="sch_avail_sp_sportsclub_boxing">'[1]XI. Box 1'!$Z$18</definedName>
    <definedName name="sch_avail_sp_sportsclub_boxing_shs">'[1]XI. Box 1'!$BD$18</definedName>
    <definedName name="sch_avail_sp_sportsclub_chess">'[1]XI. Box 1'!$Z$19</definedName>
    <definedName name="sch_avail_sp_sportsclub_chess_shs">'[1]XI. Box 1'!$BD$19</definedName>
    <definedName name="sch_avail_sp_sportsclub_dancesports">'[1]XI. Box 1'!$Z$20</definedName>
    <definedName name="sch_avail_sp_sportsclub_dancesports_shs">'[1]XI. Box 1'!$BD$20</definedName>
    <definedName name="sch_avail_sp_sportsclub_football">'[1]XI. Box 1'!$Z$21</definedName>
    <definedName name="sch_avail_sp_sportsclub_football_shs">'[1]XI. Box 1'!$BD$21</definedName>
    <definedName name="sch_avail_sp_sportsclub_futsal">'[1]XI. Box 1'!$Z$22</definedName>
    <definedName name="sch_avail_sp_sportsclub_futsal_shs">'[1]XI. Box 1'!$BD$22</definedName>
    <definedName name="sch_avail_sp_sportsclub_goalball">'[1]XI. Box 1'!$Z$39</definedName>
    <definedName name="sch_avail_sp_sportsclub_goalball_shs">'[1]XI. Box 1'!$BD$39</definedName>
    <definedName name="sch_avail_sp_sportsclub_mag">'[1]XI. Box 1'!$Z$24</definedName>
    <definedName name="sch_avail_sp_sportsclub_mag_shs">'[1]XI. Box 1'!$BD$24</definedName>
    <definedName name="sch_avail_sp_sportsclub_pencak">'[1]XI. Box 1'!$Z$27</definedName>
    <definedName name="sch_avail_sp_sportsclub_pencak_shs">'[1]XI. Box 1'!$BD$27</definedName>
    <definedName name="sch_avail_sp_sportsclub_philgame">'[1]XI. Box 1'!$Z$41</definedName>
    <definedName name="sch_avail_sp_sportsclub_philgame_shs">'[1]XI. Box 1'!$BD$41</definedName>
    <definedName name="sch_avail_sp_sportsclub_rg">'[1]XI. Box 1'!$Z$26</definedName>
    <definedName name="sch_avail_sp_sportsclub_rg_shs">'[1]XI. Box 1'!$BD$26</definedName>
    <definedName name="sch_avail_sp_sportsclub_sepaktakraw">'[1]XI. Box 1'!$Z$28</definedName>
    <definedName name="sch_avail_sp_sportsclub_sepaktakraw_shs">'[1]XI. Box 1'!$BD$28</definedName>
    <definedName name="sch_avail_sp_sportsclub_softball">'[1]XI. Box 1'!$Z$29</definedName>
    <definedName name="sch_avail_sp_sportsclub_softball_shs">'[1]XI. Box 1'!$BD$29</definedName>
    <definedName name="sch_avail_sp_sportsclub_swimming">'[1]XI. Box 1'!$Z$30</definedName>
    <definedName name="sch_avail_sp_sportsclub_swimming_shs">'[1]XI. Box 1'!$BD$30</definedName>
    <definedName name="sch_avail_sp_sportsclub_swimmingparagame">'[1]XI. Box 1'!$Z$38</definedName>
    <definedName name="sch_avail_sp_sportsclub_swimmingparagame_shs">'[1]XI. Box 1'!$BD$38</definedName>
    <definedName name="sch_avail_sp_sportsclub_tabletennis">'[1]XI. Box 1'!$Z$31</definedName>
    <definedName name="sch_avail_sp_sportsclub_tabletennis_shs">'[1]XI. Box 1'!$BD$31</definedName>
    <definedName name="sch_avail_sp_sportsclub_taekwondo">'[1]XI. Box 1'!$Z$32</definedName>
    <definedName name="sch_avail_sp_sportsclub_taekwondo_shs">'[1]XI. Box 1'!$BD$32</definedName>
    <definedName name="sch_avail_sp_sportsclub_tennis">'[1]XI. Box 1'!$Z$33</definedName>
    <definedName name="sch_avail_sp_sportsclub_tennis_shs">'[1]XI. Box 1'!$BD$33</definedName>
    <definedName name="sch_avail_sp_sportsclub_volleyball">'[1]XI. Box 1'!$Z$34</definedName>
    <definedName name="sch_avail_sp_sportsclub_volleyball_shs">'[1]XI. Box 1'!$BD$34</definedName>
    <definedName name="sch_avail_sp_sportsclub_wag">'[1]XI. Box 1'!$Z$25</definedName>
    <definedName name="sch_avail_sp_sportsclub_wag_shs">'[1]XI. Box 1'!$BD$25</definedName>
    <definedName name="sch_avail_sp_sportsclub_wrestling">'[1]XI. Box 1'!$Z$35</definedName>
    <definedName name="sch_avail_sp_sportsclub_wrestling_shs">'[1]XI. Box 1'!$BD$35</definedName>
    <definedName name="sch_avail_sp_sportsclub_wushu">'[1]XI. Box 1'!$Z$36</definedName>
    <definedName name="sch_avail_sp_sportsclub_wushu_shs">'[1]XI. Box 1'!$BD$36</definedName>
    <definedName name="sch_avail_sp_sportsevent_aerogymn">'[1]XI. Box 1'!$U$23</definedName>
    <definedName name="sch_avail_sp_sportsevent_aerogymn_shs">'[1]XI. Box 1'!$AY$23</definedName>
    <definedName name="sch_avail_sp_sportsevent_arch">'[1]XI. Box 1'!$U$10</definedName>
    <definedName name="sch_avail_sp_sportsevent_arch_shs">'[1]XI. Box 1'!$AY$10</definedName>
    <definedName name="sch_avail_sp_sportsevent_arnis">'[1]XI. Box 1'!$U$11</definedName>
    <definedName name="sch_avail_sp_sportsevent_arnis_shs">'[1]XI. Box 1'!$AY$11</definedName>
    <definedName name="sch_avail_sp_sportsevent_athleticsparagame">'[1]XI. Box 1'!$U$37</definedName>
    <definedName name="sch_avail_sp_sportsevent_athleticsparagame_shs">'[1]XI. Box 1'!$AY$37</definedName>
    <definedName name="sch_avail_sp_sportsevent_athlrun">'[1]XI. Box 1'!$U$13</definedName>
    <definedName name="sch_avail_sp_sportsevent_athlrun_shs">'[1]XI. Box 1'!$AY$13</definedName>
    <definedName name="sch_avail_sp_sportsevent_athlthrow">'[1]XI. Box 1'!$U$12</definedName>
    <definedName name="sch_avail_sp_sportsevent_athlthrow_shs">'[1]XI. Box 1'!$AY$12</definedName>
    <definedName name="sch_avail_sp_sportsevent_badm">'[1]XI. Box 1'!$U$14</definedName>
    <definedName name="sch_avail_sp_sportsevent_badm_shs">'[1]XI. Box 1'!$AY$14</definedName>
    <definedName name="sch_avail_sp_sportsevent_baseball">'[1]XI. Box 1'!$U$16</definedName>
    <definedName name="sch_avail_sp_sportsevent_baseball_shs">'[1]XI. Box 1'!$AY$16</definedName>
    <definedName name="sch_avail_sp_sportsevent_basket">'[1]XI. Box 1'!$U$15</definedName>
    <definedName name="sch_avail_sp_sportsevent_basket_shs">'[1]XI. Box 1'!$AY$15</definedName>
    <definedName name="sch_avail_sp_sportsevent_billard">'[1]XI. Box 1'!$U$17</definedName>
    <definedName name="sch_avail_sp_sportsevent_billard_shs">'[1]XI. Box 1'!$AY$17</definedName>
    <definedName name="sch_avail_sp_sportsevent_bocce">'[1]XI. Box 1'!$U$40</definedName>
    <definedName name="sch_avail_sp_sportsevent_bocce_shs">'[1]XI. Box 1'!$AY$40</definedName>
    <definedName name="sch_avail_sp_sportsevent_boxing">'[1]XI. Box 1'!$U$18</definedName>
    <definedName name="sch_avail_sp_sportsevent_boxing_shs">'[1]XI. Box 1'!$AY$18</definedName>
    <definedName name="sch_avail_sp_sportsevent_chess">'[1]XI. Box 1'!$U$19</definedName>
    <definedName name="sch_avail_sp_sportsevent_chess_shs">'[1]XI. Box 1'!$AY$19</definedName>
    <definedName name="sch_avail_sp_sportsevent_dancesports">'[1]XI. Box 1'!$U$20</definedName>
    <definedName name="sch_avail_sp_sportsevent_dancesports_shs">'[1]XI. Box 1'!$AY$20</definedName>
    <definedName name="sch_avail_sp_sportsevent_football">'[1]XI. Box 1'!$U$21</definedName>
    <definedName name="sch_avail_sp_sportsevent_football_shs">'[1]XI. Box 1'!$AY$21</definedName>
    <definedName name="sch_avail_sp_sportsevent_futsal">'[1]XI. Box 1'!$U$22</definedName>
    <definedName name="sch_avail_sp_sportsevent_futsal_shs">'[1]XI. Box 1'!$AY$22</definedName>
    <definedName name="sch_avail_sp_sportsevent_goalball">'[1]XI. Box 1'!$U$39</definedName>
    <definedName name="sch_avail_sp_sportsevent_goalball_shs">'[1]XI. Box 1'!$AY$39</definedName>
    <definedName name="sch_avail_sp_sportsevent_mag">'[1]XI. Box 1'!$U$24</definedName>
    <definedName name="sch_avail_sp_sportsevent_mag_shs">'[1]XI. Box 1'!$AY$24</definedName>
    <definedName name="sch_avail_sp_sportsevent_pencak">'[1]XI. Box 1'!$U$27</definedName>
    <definedName name="sch_avail_sp_sportsevent_pencak_shs">'[1]XI. Box 1'!$AY$27</definedName>
    <definedName name="sch_avail_sp_sportsevent_philgame">'[1]XI. Box 1'!$U$41</definedName>
    <definedName name="sch_avail_sp_sportsevent_philgame_shs">'[1]XI. Box 1'!$AY$41</definedName>
    <definedName name="sch_avail_sp_sportsevent_rg">'[1]XI. Box 1'!$U$26</definedName>
    <definedName name="sch_avail_sp_sportsevent_rg_shs">'[1]XI. Box 1'!$AY$26</definedName>
    <definedName name="sch_avail_sp_sportsevent_sepaktakraw">'[1]XI. Box 1'!$U$28</definedName>
    <definedName name="sch_avail_sp_sportsevent_sepaktakraw_shs">'[1]XI. Box 1'!$AY$28</definedName>
    <definedName name="sch_avail_sp_sportsevent_softball">'[1]XI. Box 1'!$U$29</definedName>
    <definedName name="sch_avail_sp_sportsevent_softball_shs">'[1]XI. Box 1'!$AY$29</definedName>
    <definedName name="sch_avail_sp_sportsevent_swimming">'[1]XI. Box 1'!$U$30</definedName>
    <definedName name="sch_avail_sp_sportsevent_swimming_shs">'[1]XI. Box 1'!$AY$30</definedName>
    <definedName name="sch_avail_sp_sportsevent_swimmingparagame">'[1]XI. Box 1'!$U$38</definedName>
    <definedName name="sch_avail_sp_sportsevent_swimmingparagame_shs">'[1]XI. Box 1'!$AY$38</definedName>
    <definedName name="sch_avail_sp_sportsevent_tabletennis">'[1]XI. Box 1'!$U$31</definedName>
    <definedName name="sch_avail_sp_sportsevent_tabletennis_shs">'[1]XI. Box 1'!$AY$31</definedName>
    <definedName name="sch_avail_sp_sportsevent_taekwondo">'[1]XI. Box 1'!$U$32</definedName>
    <definedName name="sch_avail_sp_sportsevent_taekwondo_shs">'[1]XI. Box 1'!$AY$32</definedName>
    <definedName name="sch_avail_sp_sportsevent_tennis">'[1]XI. Box 1'!$U$33</definedName>
    <definedName name="sch_avail_sp_sportsevent_tennis_shs">'[1]XI. Box 1'!$AY$33</definedName>
    <definedName name="sch_avail_sp_sportsevent_volleyball">'[1]XI. Box 1'!$U$34</definedName>
    <definedName name="sch_avail_sp_sportsevent_volleyball_shs">'[1]XI. Box 1'!$AY$34</definedName>
    <definedName name="sch_avail_sp_sportsevent_wag">'[1]XI. Box 1'!$U$25</definedName>
    <definedName name="sch_avail_sp_sportsevent_wag_shs">'[1]XI. Box 1'!$AY$25</definedName>
    <definedName name="sch_avail_sp_sportsevent_wrestling">'[1]XI. Box 1'!$U$35</definedName>
    <definedName name="sch_avail_sp_sportsevent_wrestling_shs">'[1]XI. Box 1'!$AY$35</definedName>
    <definedName name="sch_avail_sp_sportsevent_wushu">'[1]XI. Box 1'!$U$36</definedName>
    <definedName name="sch_avail_sp_sportsevent_wushu_shs">'[1]XI. Box 1'!$AY$36</definedName>
    <definedName name="sch_avail_sp_sportssportsfac_aerogymn">'[1]XI. Box 1'!$AE$23</definedName>
    <definedName name="sch_avail_sp_sportssportsfac_aerogymn_shs">'[1]XI. Box 1'!$BI$23</definedName>
    <definedName name="sch_avail_sp_sportssportsfac_arch">'[1]XI. Box 1'!$AE$10</definedName>
    <definedName name="sch_avail_sp_sportssportsfac_arch_shs">'[1]XI. Box 1'!$BI$10</definedName>
    <definedName name="sch_avail_sp_sportssportsfac_arnis">'[1]XI. Box 1'!$AE$11</definedName>
    <definedName name="sch_avail_sp_sportssportsfac_arnis_shs">'[1]XI. Box 1'!$BI$11</definedName>
    <definedName name="sch_avail_sp_sportssportsfac_athleticsparagame">'[1]XI. Box 1'!$AE$37</definedName>
    <definedName name="sch_avail_sp_sportssportsfac_athleticsparagame_shs">'[1]XI. Box 1'!$BI$37</definedName>
    <definedName name="sch_avail_sp_sportssportsfac_athlrun">'[1]XI. Box 1'!$AE$13</definedName>
    <definedName name="sch_avail_sp_sportssportsfac_athlrun_shs">'[1]XI. Box 1'!$BI$13</definedName>
    <definedName name="sch_avail_sp_sportssportsfac_athlthrow">'[1]XI. Box 1'!$AE$12</definedName>
    <definedName name="sch_avail_sp_sportssportsfac_athlthrow_shs">'[1]XI. Box 1'!$BI$12</definedName>
    <definedName name="sch_avail_sp_sportssportsfac_badm">'[1]XI. Box 1'!$AE$14</definedName>
    <definedName name="sch_avail_sp_sportssportsfac_badm_shs">'[1]XI. Box 1'!$BI$14</definedName>
    <definedName name="sch_avail_sp_sportssportsfac_baseball">'[1]XI. Box 1'!$AE$16</definedName>
    <definedName name="sch_avail_sp_sportssportsfac_baseball_shs">'[1]XI. Box 1'!$BI$16</definedName>
    <definedName name="sch_avail_sp_sportssportsfac_basket">'[1]XI. Box 1'!$AE$15</definedName>
    <definedName name="sch_avail_sp_sportssportsfac_basket_shs">'[1]XI. Box 1'!$BI$15</definedName>
    <definedName name="sch_avail_sp_sportssportsfac_billard">'[1]XI. Box 1'!$AE$17</definedName>
    <definedName name="sch_avail_sp_sportssportsfac_billard_shs">'[1]XI. Box 1'!$BI$17</definedName>
    <definedName name="sch_avail_sp_sportssportsfac_bocce">'[1]XI. Box 1'!$AE$40</definedName>
    <definedName name="sch_avail_sp_sportssportsfac_bocce_shs">'[1]XI. Box 1'!$BI$40</definedName>
    <definedName name="sch_avail_sp_sportssportsfac_boxing">'[1]XI. Box 1'!$AE$18</definedName>
    <definedName name="sch_avail_sp_sportssportsfac_boxing_shs">'[1]XI. Box 1'!$BI$18</definedName>
    <definedName name="sch_avail_sp_sportssportsfac_chess">'[1]XI. Box 1'!$AE$19</definedName>
    <definedName name="sch_avail_sp_sportssportsfac_chess_shs">'[1]XI. Box 1'!$BI$19</definedName>
    <definedName name="sch_avail_sp_sportssportsfac_dancesports">'[1]XI. Box 1'!$AE$20</definedName>
    <definedName name="sch_avail_sp_sportssportsfac_dancesports_shs">'[1]XI. Box 1'!$BI$20</definedName>
    <definedName name="sch_avail_sp_sportssportsfac_football">'[1]XI. Box 1'!$AE$21</definedName>
    <definedName name="sch_avail_sp_sportssportsfac_football_shs">'[1]XI. Box 1'!$BI$21</definedName>
    <definedName name="sch_avail_sp_sportssportsfac_futsal">'[1]XI. Box 1'!$AE$22</definedName>
    <definedName name="sch_avail_sp_sportssportsfac_futsal_shs">'[1]XI. Box 1'!$BI$22</definedName>
    <definedName name="sch_avail_sp_sportssportsfac_goalball">'[1]XI. Box 1'!$AE$39</definedName>
    <definedName name="sch_avail_sp_sportssportsfac_goalball_shs">'[1]XI. Box 1'!$BI$39</definedName>
    <definedName name="sch_avail_sp_sportssportsfac_mag">'[1]XI. Box 1'!$AE$24</definedName>
    <definedName name="sch_avail_sp_sportssportsfac_mag_shs">'[1]XI. Box 1'!$BI$24</definedName>
    <definedName name="sch_avail_sp_sportssportsfac_pencak">'[1]XI. Box 1'!$AE$27</definedName>
    <definedName name="sch_avail_sp_sportssportsfac_pencak_shs">'[1]XI. Box 1'!$BI$27</definedName>
    <definedName name="sch_avail_sp_sportssportsfac_philgame">'[1]XI. Box 1'!$AE$41</definedName>
    <definedName name="sch_avail_sp_sportssportsfac_philgame_shs">'[1]XI. Box 1'!$BI$41</definedName>
    <definedName name="sch_avail_sp_sportssportsfac_rg">'[1]XI. Box 1'!$AE$26</definedName>
    <definedName name="sch_avail_sp_sportssportsfac_rg_shs">'[1]XI. Box 1'!$BI$26</definedName>
    <definedName name="sch_avail_sp_sportssportsfac_sepaktakraw">'[1]XI. Box 1'!$AE$28</definedName>
    <definedName name="sch_avail_sp_sportssportsfac_sepaktakraw_shs">'[1]XI. Box 1'!$BI$28</definedName>
    <definedName name="sch_avail_sp_sportssportsfac_softball">'[1]XI. Box 1'!$AE$29</definedName>
    <definedName name="sch_avail_sp_sportssportsfac_softball_shs">'[1]XI. Box 1'!$BI$29</definedName>
    <definedName name="sch_avail_sp_sportssportsfac_swimming">'[1]XI. Box 1'!$AE$30</definedName>
    <definedName name="sch_avail_sp_sportssportsfac_swimming_shs">'[1]XI. Box 1'!$BI$30</definedName>
    <definedName name="sch_avail_sp_sportssportsfac_swimmingparagame">'[1]XI. Box 1'!$AE$38</definedName>
    <definedName name="sch_avail_sp_sportssportsfac_swimmingparagame_shs">'[1]XI. Box 1'!$BI$38</definedName>
    <definedName name="sch_avail_sp_sportssportsfac_tabletennis">'[1]XI. Box 1'!$AE$31</definedName>
    <definedName name="sch_avail_sp_sportssportsfac_tabletennis_shs">'[1]XI. Box 1'!$BI$31</definedName>
    <definedName name="sch_avail_sp_sportssportsfac_taekwondo">'[1]XI. Box 1'!$AE$32</definedName>
    <definedName name="sch_avail_sp_sportssportsfac_taekwondo_shs">'[1]XI. Box 1'!$BI$32</definedName>
    <definedName name="sch_avail_sp_sportssportsfac_tennis">'[1]XI. Box 1'!$AE$33</definedName>
    <definedName name="sch_avail_sp_sportssportsfac_tennis_shs">'[1]XI. Box 1'!$BI$33</definedName>
    <definedName name="sch_avail_sp_sportssportsfac_volleyball">'[1]XI. Box 1'!$AE$34</definedName>
    <definedName name="sch_avail_sp_sportssportsfac_volleyball_shs">'[1]XI. Box 1'!$BI$34</definedName>
    <definedName name="sch_avail_sp_sportssportsfac_wag">'[1]XI. Box 1'!$AE$25</definedName>
    <definedName name="sch_avail_sp_sportssportsfac_wag_shs">'[1]XI. Box 1'!$BI$25</definedName>
    <definedName name="sch_avail_sp_sportssportsfac_wrestling">'[1]XI. Box 1'!$AE$35</definedName>
    <definedName name="sch_avail_sp_sportssportsfac_wrestling_shs">'[1]XI. Box 1'!$BI$35</definedName>
    <definedName name="sch_avail_sp_sportssportsfac_wushu">'[1]XI. Box 1'!$AE$36</definedName>
    <definedName name="sch_avail_sp_sportssportsfac_wushu_shs">'[1]XI. Box 1'!$BI$36</definedName>
    <definedName name="sch_avemonthlyexpense_others1">'[1]VI. Box 1'!$AB$18</definedName>
    <definedName name="sch_avemonthlyexpense_others10">'[1]VI. Box 1'!$AB$27</definedName>
    <definedName name="sch_avemonthlyexpense_others2">'[1]VI. Box 1'!$AB$19</definedName>
    <definedName name="sch_avemonthlyexpense_others3">'[1]VI. Box 1'!$AB$20</definedName>
    <definedName name="sch_avemonthlyexpense_others4">'[1]VI. Box 1'!$AB$21</definedName>
    <definedName name="sch_avemonthlyexpense_others5">'[1]VI. Box 1'!$AB$22</definedName>
    <definedName name="sch_avemonthlyexpense_others6">'[1]VI. Box 1'!$AB$23</definedName>
    <definedName name="sch_avemonthlyexpense_others7">'[1]VI. Box 1'!$AB$24</definedName>
    <definedName name="sch_avemonthlyexpense_others8">'[1]VI. Box 1'!$AB$25</definedName>
    <definedName name="sch_avemonthlyexpense_others9">'[1]VI. Box 1'!$AB$26</definedName>
    <definedName name="sch_bkd_dedicated_room_yes">'[1]V. Box 4'!$L$44</definedName>
    <definedName name="sch_bkd_dyfc_yes">'[1]V. Box 4'!$L$73</definedName>
    <definedName name="sch_celebrate_coord_div_off">'[1]XIII. Box 1 (Part A)'!$AL$38</definedName>
    <definedName name="sch_celebrate_ip_day">'[1]XIII. Box 1 (Part A)'!$F$34</definedName>
    <definedName name="sch_celebrate_ip_month">'[1]XIII. Box 1 (Part A)'!$F$35</definedName>
    <definedName name="sch_celebrate_none">'[1]XIII. Box 1 (Part A)'!$F$36</definedName>
    <definedName name="sch_central_school">'[1]School Profile'!$C$38</definedName>
    <definedName name="sch_cgp_ca_personnel_jhs_f">'[1]V. Box 2'!$T$21</definedName>
    <definedName name="sch_cgp_ca_personnel_jhs_m">'[1]V. Box 2'!$O$21</definedName>
    <definedName name="sch_cgp_ca_personnel_shs_f">'[1]V. Box 2'!$T$22</definedName>
    <definedName name="sch_cgp_ca_personnel_shs_m">'[1]V. Box 2'!$O$22</definedName>
    <definedName name="sch_cgp_cgra_aat">'[1]V. Box 2'!$E$34</definedName>
    <definedName name="sch_cgp_cgra_aces_g12_grad">'[1]V. Box 2'!$E$38</definedName>
    <definedName name="sch_cgp_cgra_ancae">'[1]V. Box 2'!$E$36</definedName>
    <definedName name="sch_cgp_cgra_ccc">'[1]V. Box 2'!$E$31</definedName>
    <definedName name="sch_cgp_cgra_ct_fair_cara">'[1]V. Box 2'!$E$29</definedName>
    <definedName name="sch_cgp_cgra_iss_ncae_ri">'[1]V. Box 2'!$E$37</definedName>
    <definedName name="sch_cgp_cgra_occc">'[1]V. Box 2'!$E$30</definedName>
    <definedName name="sch_cgp_cgra_oshsce">'[1]V. Box 2'!$E$32</definedName>
    <definedName name="sch_cgp_cgra_others">'[1]V. Box 2'!$E$39</definedName>
    <definedName name="sch_cgp_cgra_others_specify">'[1]V. Box 2'!$N$39</definedName>
    <definedName name="sch_cgp_cgra_owip">'[1]V. Box 2'!$E$35</definedName>
    <definedName name="sch_cgp_cgra_tfl">'[1]V. Box 2'!$E$33</definedName>
    <definedName name="sch_cgp_guidofc_conduct_yes">'[1]V. Box 2'!$AO$25</definedName>
    <definedName name="sch_cgp_learner_participate_cgra_lwd_m">'[1]V. Box 2'!$M$52</definedName>
    <definedName name="sch_cgp_learner_participate_ip_f">'[1]V. Box 2'!$S$53</definedName>
    <definedName name="sch_cgp_learner_participate_ip_m">'[1]V. Box 2'!$M$53</definedName>
    <definedName name="sch_cgp_learner_participate_lwd_f">'[1]V. Box 2'!$S$52</definedName>
    <definedName name="sch_cgp_learner_participate_muslim_f">'[1]V. Box 2'!$S$54</definedName>
    <definedName name="sch_cgp_learner_participate_muslim_m">'[1]V. Box 2'!$M$54</definedName>
    <definedName name="sch_cgp_num_learner_jhs_f">'[1]V. Box 2'!$S$45</definedName>
    <definedName name="sch_cgp_num_learner_jhs_m">'[1]V. Box 2'!$M$45</definedName>
    <definedName name="sch_cgp_num_learner_secondary_f">'[1]V. Box 2'!$S$47</definedName>
    <definedName name="sch_cgp_num_learner_secondary_m">'[1]V. Box 2'!$M$47</definedName>
    <definedName name="sch_cgp_num_learner_shs_f">'[1]V. Box 2'!$S$46</definedName>
    <definedName name="sch_cgp_num_learner_shs_m">'[1]V. Box 2'!$M$46</definedName>
    <definedName name="sch_cgp_rgc_attend_ntc_f">'[1]V. Box 2'!$AA$9</definedName>
    <definedName name="sch_cgp_rgc_attend_ntc_m">'[1]V. Box 2'!$V$9</definedName>
    <definedName name="sch_cgp_sec_learner_ccrc_learner_ip_f">'[1]V. Box 2'!$S$69</definedName>
    <definedName name="sch_cgp_sec_learner_ccrc_learner_ip_m">'[1]V. Box 2'!$M$69</definedName>
    <definedName name="sch_cgp_sec_learner_ccrc_learner_lwd_f">'[1]V. Box 2'!$S$68</definedName>
    <definedName name="sch_cgp_sec_learner_ccrc_learner_muslim_f">'[1]V. Box 2'!$S$70</definedName>
    <definedName name="sch_cgp_sec_learner_ccrc_learner_muslim_m">'[1]V. Box 2'!$M$70</definedName>
    <definedName name="sch_cgp_sec_learner_ccrc_lwd_m">'[1]V. Box 2'!$M$68</definedName>
    <definedName name="sch_cgp_sl_ccrc_g10_f">'[1]V. Box 2'!$R$62</definedName>
    <definedName name="sch_cgp_sl_ccrc_g10_m">'[1]V. Box 2'!$P$62</definedName>
    <definedName name="sch_cgp_sl_ccrc_g11_f">'[1]V. Box 2'!$Z$62</definedName>
    <definedName name="sch_cgp_sl_ccrc_g11_m">'[1]V. Box 2'!$X$62</definedName>
    <definedName name="sch_cgp_sl_ccrc_g12_f">'[1]V. Box 2'!$AD$62</definedName>
    <definedName name="sch_cgp_sl_ccrc_g12_m">'[1]V. Box 2'!$AB$62</definedName>
    <definedName name="sch_cgp_sl_ccrc_g7_f">'[1]V. Box 2'!$F$62</definedName>
    <definedName name="sch_cgp_sl_ccrc_g7_m">'[1]V. Box 2'!$D$62</definedName>
    <definedName name="sch_cgp_sl_ccrc_g8_f">'[1]V. Box 2'!$J$62</definedName>
    <definedName name="sch_cgp_sl_ccrc_g8_m">'[1]V. Box 2'!$H$62</definedName>
    <definedName name="sch_cgp_sl_ccrc_g9_f">'[1]V. Box 2'!$N$62</definedName>
    <definedName name="sch_cgp_sl_ccrc_g9_m">'[1]V. Box 2'!$L$62</definedName>
    <definedName name="sch_cgp_sl_ccrc_secondary_total_f">'[1]V. Box 2'!$AJ$63</definedName>
    <definedName name="sch_cgp_sl_ccrc_secondary_total_m">'[1]V. Box 2'!$AJ$62</definedName>
    <definedName name="sch_cgp_sst_tcd_ca_yes">'[1]V. Box 2'!$AO$15</definedName>
    <definedName name="sch_coc_11to12">'[1]School Profile'!$R$35</definedName>
    <definedName name="sch_coc_7to10">'[1]School Profile'!$R$34</definedName>
    <definedName name="sch_coc_k1to6">'[1]School Profile'!$R$33</definedName>
    <definedName name="sch_coc_kinder">'[1]School Profile'!$R$32</definedName>
    <definedName name="sch_conduct_brigada_aftermath_disaster">'[1]XII. Box 3 (Part 3)'!$D$6</definedName>
    <definedName name="sch_conduct_menttraining_teachers_ifyes">'IX. Box 4'!$AJ$34</definedName>
    <definedName name="sch_conducted_brigada_eskwela_ensure_school_safety">'[1]XII. Box 3 (Parts 1 and 2)'!$D$38</definedName>
    <definedName name="sch_conducts_regular_inspect_instruct_noninstruct_spaces">'[1]XII. Box 2'!$D$42</definedName>
    <definedName name="sch_cont_plan_conducted_with_learners">'[1]XII. Box 3 (Parts 1 and 2)'!$G$20</definedName>
    <definedName name="sch_cont_plan_conducted_with_lgu">'[1]XII. Box 3 (Parts 1 and 2)'!$AA$20</definedName>
    <definedName name="sch_cont_plan_conducted_with_parents">'[1]XII. Box 3 (Parts 1 and 2)'!$U$20</definedName>
    <definedName name="sch_cont_plan_conducted_with_partners">'[1]XII. Box 3 (Parts 1 and 2)'!$AH$20</definedName>
    <definedName name="sch_cont_plan_conducted_with_personnel">'[1]XII. Box 3 (Parts 1 and 2)'!$N$20</definedName>
    <definedName name="sch_cs_mis_l1">'[1]School Profile'!$G$41</definedName>
    <definedName name="sch_cs_mis_l2">'[1]School Profile'!$G$42</definedName>
    <definedName name="sch_cs_mis_l3">'[1]School Profile'!$G$43</definedName>
    <definedName name="sch_date_est">'[1]School Profile'!$AH$28</definedName>
    <definedName name="sch_dcnh_dr_01">'[1]XII. Table 1'!$AG$8</definedName>
    <definedName name="sch_dcnh_dr_02">'[1]XII. Table 1'!$AI$8</definedName>
    <definedName name="sch_dcnh_dr_03">'[1]XII. Table 1'!$AK$8</definedName>
    <definedName name="sch_dcnh_dr_04">'[1]XII. Table 1'!$AM$8</definedName>
    <definedName name="sch_dcnh_dr_05">'[1]XII. Table 1'!$AO$8</definedName>
    <definedName name="sch_dcnh_dr_06">'[1]XII. Table 1'!$S$8</definedName>
    <definedName name="sch_dcnh_dr_07">'[1]XII. Table 1'!$U$8</definedName>
    <definedName name="sch_dcnh_dr_08">'[1]XII. Table 1'!$W$8</definedName>
    <definedName name="sch_dcnh_dr_09">'[1]XII. Table 1'!$Y$8</definedName>
    <definedName name="sch_dcnh_dr_10">'[1]XII. Table 1'!$AA$8</definedName>
    <definedName name="sch_dcnh_dr_11">'[1]XII. Table 1'!$AC$8</definedName>
    <definedName name="sch_dcnh_dr_12">'[1]XII. Table 1'!$AE$8</definedName>
    <definedName name="sch_dcnh_ea_01">'[1]XII. Table 1'!$AG$9</definedName>
    <definedName name="sch_dcnh_ea_02">'[1]XII. Table 1'!$AI$9</definedName>
    <definedName name="sch_dcnh_ea_03">'[1]XII. Table 1'!$AK$9</definedName>
    <definedName name="sch_dcnh_ea_04">'[1]XII. Table 1'!$AM$9</definedName>
    <definedName name="sch_dcnh_ea_05">'[1]XII. Table 1'!$AO$9</definedName>
    <definedName name="sch_dcnh_ea_06">'[1]XII. Table 1'!$S$9</definedName>
    <definedName name="sch_dcnh_ea_07">'[1]XII. Table 1'!$U$9</definedName>
    <definedName name="sch_dcnh_ea_08">'[1]XII. Table 1'!$W$9</definedName>
    <definedName name="sch_dcnh_ea_09">'[1]XII. Table 1'!$Y$9</definedName>
    <definedName name="sch_dcnh_ea_10">'[1]XII. Table 1'!$AA$9</definedName>
    <definedName name="sch_dcnh_ea_11">'[1]XII. Table 1'!$AC$9</definedName>
    <definedName name="sch_dcnh_ea_12">'[1]XII. Table 1'!$AE$9</definedName>
    <definedName name="sch_dcnh_fi_01">'[1]XII. Table 1'!$AG$10</definedName>
    <definedName name="sch_dcnh_fi_02">'[1]XII. Table 1'!$AI$10</definedName>
    <definedName name="sch_dcnh_fi_03">'[1]XII. Table 1'!$AK$10</definedName>
    <definedName name="sch_dcnh_fi_04">'[1]XII. Table 1'!$AM$10</definedName>
    <definedName name="sch_dcnh_fi_05">'[1]XII. Table 1'!$AO$10</definedName>
    <definedName name="sch_dcnh_fi_06">'[1]XII. Table 1'!$S$10</definedName>
    <definedName name="sch_dcnh_fi_07">'[1]XII. Table 1'!$U$10</definedName>
    <definedName name="sch_dcnh_fi_08">'[1]XII. Table 1'!$W$10</definedName>
    <definedName name="sch_dcnh_fi_09">'[1]XII. Table 1'!$Y$10</definedName>
    <definedName name="sch_dcnh_fi_10">'[1]XII. Table 1'!$AA$10</definedName>
    <definedName name="sch_dcnh_fi_11">'[1]XII. Table 1'!$AC$10</definedName>
    <definedName name="sch_dcnh_fi_12">'[1]XII. Table 1'!$AE$10</definedName>
    <definedName name="sch_dcnh_fl_01">'[1]XII. Table 1'!$AG$11</definedName>
    <definedName name="sch_dcnh_fl_02">'[1]XII. Table 1'!$AI$11</definedName>
    <definedName name="sch_dcnh_fl_03">'[1]XII. Table 1'!$AK$11</definedName>
    <definedName name="sch_dcnh_fl_04">'[1]XII. Table 1'!$AM$11</definedName>
    <definedName name="sch_dcnh_fl_05">'[1]XII. Table 1'!$AO$11</definedName>
    <definedName name="sch_dcnh_fl_06">'[1]XII. Table 1'!$S$11</definedName>
    <definedName name="sch_dcnh_fl_07">'[1]XII. Table 1'!$U$11</definedName>
    <definedName name="sch_dcnh_fl_08">'[1]XII. Table 1'!$W$11</definedName>
    <definedName name="sch_dcnh_fl_09">'[1]XII. Table 1'!$Y$11</definedName>
    <definedName name="sch_dcnh_fl_10">'[1]XII. Table 1'!$AA$11</definedName>
    <definedName name="sch_dcnh_fl_11">'[1]XII. Table 1'!$AC$11</definedName>
    <definedName name="sch_dcnh_fl_12">'[1]XII. Table 1'!$AE$11</definedName>
    <definedName name="sch_dcnh_lpa_01">'[1]XII. Table 1'!$AG$13</definedName>
    <definedName name="sch_dcnh_lpa_02">'[1]XII. Table 1'!$AI$13</definedName>
    <definedName name="sch_dcnh_lpa_03">'[1]XII. Table 1'!$AK$13</definedName>
    <definedName name="sch_dcnh_lpa_04">'[1]XII. Table 1'!$AM$13</definedName>
    <definedName name="sch_dcnh_lpa_05">'[1]XII. Table 1'!$AO$13</definedName>
    <definedName name="sch_dcnh_lpa_06">'[1]XII. Table 1'!$S$13</definedName>
    <definedName name="sch_dcnh_lpa_07">'[1]XII. Table 1'!$U$13</definedName>
    <definedName name="sch_dcnh_lpa_08">'[1]XII. Table 1'!$W$13</definedName>
    <definedName name="sch_dcnh_lpa_09">'[1]XII. Table 1'!$Y$13</definedName>
    <definedName name="sch_dcnh_lpa_10">'[1]XII. Table 1'!$AA$13</definedName>
    <definedName name="sch_dcnh_lpa_11">'[1]XII. Table 1'!$AC$13</definedName>
    <definedName name="sch_dcnh_lpa_12">'[1]XII. Table 1'!$AE$13</definedName>
    <definedName name="sch_dcnh_ls_01">'[1]XII. Table 1'!$AG$12</definedName>
    <definedName name="sch_dcnh_ls_02">'[1]XII. Table 1'!$AI$12</definedName>
    <definedName name="sch_dcnh_ls_03">'[1]XII. Table 1'!$AK$12</definedName>
    <definedName name="sch_dcnh_ls_04">'[1]XII. Table 1'!$AM$12</definedName>
    <definedName name="sch_dcnh_ls_05">'[1]XII. Table 1'!$AO$12</definedName>
    <definedName name="sch_dcnh_ls_06">'[1]XII. Table 1'!$S$12</definedName>
    <definedName name="sch_dcnh_ls_07">'[1]XII. Table 1'!$U$12</definedName>
    <definedName name="sch_dcnh_ls_08">'[1]XII. Table 1'!$W$12</definedName>
    <definedName name="sch_dcnh_ls_09">'[1]XII. Table 1'!$Y$12</definedName>
    <definedName name="sch_dcnh_ls_10">'[1]XII. Table 1'!$AA$12</definedName>
    <definedName name="sch_dcnh_ls_11">'[1]XII. Table 1'!$AC$12</definedName>
    <definedName name="sch_dcnh_ls_12">'[1]XII. Table 1'!$AE$12</definedName>
    <definedName name="sch_dcnh_ss_01">'[1]XII. Table 1'!$AG$14</definedName>
    <definedName name="sch_dcnh_ss_02">'[1]XII. Table 1'!$AI$14</definedName>
    <definedName name="sch_dcnh_ss_03">'[1]XII. Table 1'!$AK$14</definedName>
    <definedName name="sch_dcnh_ss_04">'[1]XII. Table 1'!$AM$14</definedName>
    <definedName name="sch_dcnh_ss_05">'[1]XII. Table 1'!$AO$14</definedName>
    <definedName name="sch_dcnh_ss_06">'[1]XII. Table 1'!$S$14</definedName>
    <definedName name="sch_dcnh_ss_07">'[1]XII. Table 1'!$U$14</definedName>
    <definedName name="sch_dcnh_ss_08">'[1]XII. Table 1'!$W$14</definedName>
    <definedName name="sch_dcnh_ss_09">'[1]XII. Table 1'!$Y$14</definedName>
    <definedName name="sch_dcnh_ss_10">'[1]XII. Table 1'!$AA$14</definedName>
    <definedName name="sch_dcnh_ss_11">'[1]XII. Table 1'!$AC$14</definedName>
    <definedName name="sch_dcnh_ss_12">'[1]XII. Table 1'!$AE$14</definedName>
    <definedName name="sch_dcnh_tc_01">'[1]XII. Table 1'!$AG$15</definedName>
    <definedName name="sch_dcnh_tc_02">'[1]XII. Table 1'!$AI$15</definedName>
    <definedName name="sch_dcnh_tc_03">'[1]XII. Table 1'!$AK$15</definedName>
    <definedName name="sch_dcnh_tc_04">'[1]XII. Table 1'!$AM$15</definedName>
    <definedName name="sch_dcnh_tc_05">'[1]XII. Table 1'!$AO$15</definedName>
    <definedName name="sch_dcnh_tc_06">'[1]XII. Table 1'!$S$15</definedName>
    <definedName name="sch_dcnh_tc_07">'[1]XII. Table 1'!$U$15</definedName>
    <definedName name="sch_dcnh_tc_08">'[1]XII. Table 1'!$W$15</definedName>
    <definedName name="sch_dcnh_tc_09">'[1]XII. Table 1'!$Y$15</definedName>
    <definedName name="sch_dcnh_tc_10">'[1]XII. Table 1'!$AA$15</definedName>
    <definedName name="sch_dcnh_tc_11">'[1]XII. Table 1'!$AC$15</definedName>
    <definedName name="sch_dcnh_tc_12">'[1]XII. Table 1'!$AE$15</definedName>
    <definedName name="sch_dcnh_ts_01">'[1]XII. Table 1'!$AG$16</definedName>
    <definedName name="sch_dcnh_ts_02">'[1]XII. Table 1'!$AI$16</definedName>
    <definedName name="sch_dcnh_ts_03">'[1]XII. Table 1'!$AK$16</definedName>
    <definedName name="sch_dcnh_ts_04">'[1]XII. Table 1'!$AM$16</definedName>
    <definedName name="sch_dcnh_ts_05">'[1]XII. Table 1'!$AO$16</definedName>
    <definedName name="sch_dcnh_ts_06">'[1]XII. Table 1'!$S$16</definedName>
    <definedName name="sch_dcnh_ts_07">'[1]XII. Table 1'!$U$16</definedName>
    <definedName name="sch_dcnh_ts_08">'[1]XII. Table 1'!$W$16</definedName>
    <definedName name="sch_dcnh_ts_09">'[1]XII. Table 1'!$Y$16</definedName>
    <definedName name="sch_dcnh_ts_10">'[1]XII. Table 1'!$AA$16</definedName>
    <definedName name="sch_dcnh_ts_11">'[1]XII. Table 1'!$AC$16</definedName>
    <definedName name="sch_dcnh_ts_12">'[1]XII. Table 1'!$AE$16</definedName>
    <definedName name="sch_dcnh_ve_01">'[1]XII. Table 1'!$AG$17</definedName>
    <definedName name="sch_dcnh_ve_02">'[1]XII. Table 1'!$AI$17</definedName>
    <definedName name="sch_dcnh_ve_03">'[1]XII. Table 1'!$AK$17</definedName>
    <definedName name="sch_dcnh_ve_04">'[1]XII. Table 1'!$AM$17</definedName>
    <definedName name="sch_dcnh_ve_05">'[1]XII. Table 1'!$AO$17</definedName>
    <definedName name="sch_dcnh_ve_06">'[1]XII. Table 1'!$S$17</definedName>
    <definedName name="sch_dcnh_ve_07">'[1]XII. Table 1'!$U$17</definedName>
    <definedName name="sch_dcnh_ve_08">'[1]XII. Table 1'!$W$17</definedName>
    <definedName name="sch_dcnh_ve_09">'[1]XII. Table 1'!$Y$17</definedName>
    <definedName name="sch_dcnh_ve_10">'[1]XII. Table 1'!$AA$17</definedName>
    <definedName name="sch_dcnh_ve_11">'[1]XII. Table 1'!$AC$17</definedName>
    <definedName name="sch_dcnh_ve_12">'[1]XII. Table 1'!$AE$17</definedName>
    <definedName name="sch_dic_coverage_elem">'[1]VI. Box 1'!$S$37</definedName>
    <definedName name="sch_dic_coverage_faculty">'[1]VI. Box 1'!$G$39</definedName>
    <definedName name="sch_dic_coverage_ict_room">'[1]VI. Box 1'!$AE$37</definedName>
    <definedName name="sch_dic_coverage_jhs">'[1]VI. Box 1'!$S$39</definedName>
    <definedName name="sch_dic_coverage_lib">'[1]VI. Box 1'!$AE$39</definedName>
    <definedName name="sch_dic_coverage_others">'[1]VI. Box 1'!$AE$41</definedName>
    <definedName name="sch_dic_coverage_principal">'[1]VI. Box 1'!$G$41</definedName>
    <definedName name="sch_dic_coverage_school_wide">'[1]VI. Box 1'!$G$37</definedName>
    <definedName name="sch_dic_coverage_shs">'[1]VI. Box 1'!$S$41</definedName>
    <definedName name="sch_dic_dict_free_wifi">'[1]VI. Box 1'!$G$46</definedName>
    <definedName name="sch_dic_dict_free_wifi_but_wo_net">'[1]VI. Box 1'!$G$48</definedName>
    <definedName name="sch_dic_dict_free_wifi_date_install">'[1]VI. Box 1'!$AM$49</definedName>
    <definedName name="sch_dic_fast_time_download1">'[1]VI. Box 1'!$AV$18</definedName>
    <definedName name="sch_dic_fast_time_download10">'[1]VI. Box 1'!$AV$27</definedName>
    <definedName name="sch_dic_fast_time_download2">'[1]VI. Box 1'!$AV$19</definedName>
    <definedName name="sch_dic_fast_time_download3">'[1]VI. Box 1'!$AV$20</definedName>
    <definedName name="sch_dic_fast_time_download4">'[1]VI. Box 1'!$AV$21</definedName>
    <definedName name="sch_dic_fast_time_download5">'[1]VI. Box 1'!$AV$22</definedName>
    <definedName name="sch_dic_fast_time_download6">'[1]VI. Box 1'!$AV$23</definedName>
    <definedName name="sch_dic_fast_time_download7">'[1]VI. Box 1'!$AV$24</definedName>
    <definedName name="sch_dic_fast_time_download8">'[1]VI. Box 1'!$AV$25</definedName>
    <definedName name="sch_dic_fast_time_download9">'[1]VI. Box 1'!$AV$26</definedName>
    <definedName name="sch_dic_fast_time_ping1">'[1]VI. Box 1'!$AR$18</definedName>
    <definedName name="sch_dic_fast_time_ping10">'[1]VI. Box 1'!$AR$27</definedName>
    <definedName name="sch_dic_fast_time_ping2">'[1]VI. Box 1'!$AR$19</definedName>
    <definedName name="sch_dic_fast_time_ping3">'[1]VI. Box 1'!$AR$20</definedName>
    <definedName name="sch_dic_fast_time_ping4">'[1]VI. Box 1'!$AR$21</definedName>
    <definedName name="sch_dic_fast_time_ping5">'[1]VI. Box 1'!$AR$22</definedName>
    <definedName name="sch_dic_fast_time_ping6">'[1]VI. Box 1'!$AR$23</definedName>
    <definedName name="sch_dic_fast_time_ping7">'[1]VI. Box 1'!$AR$24</definedName>
    <definedName name="sch_dic_fast_time_ping8">'[1]VI. Box 1'!$AR$25</definedName>
    <definedName name="sch_dic_fast_time_ping9">'[1]VI. Box 1'!$AR$26</definedName>
    <definedName name="sch_dic_fast_time_subscriber_download1">'[1]VI. Box 1'!$AJ$18</definedName>
    <definedName name="sch_dic_fast_time_subscriber_download10">'[1]VI. Box 1'!$AJ$27</definedName>
    <definedName name="sch_dic_fast_time_subscriber_download2">'[1]VI. Box 1'!$AJ$19</definedName>
    <definedName name="sch_dic_fast_time_subscriber_download3">'[1]VI. Box 1'!$AJ$20</definedName>
    <definedName name="sch_dic_fast_time_subscriber_download4">'[1]VI. Box 1'!$AJ$21</definedName>
    <definedName name="sch_dic_fast_time_subscriber_download5">'[1]VI. Box 1'!$AJ$22</definedName>
    <definedName name="sch_dic_fast_time_subscriber_download6">'[1]VI. Box 1'!$AJ$23</definedName>
    <definedName name="sch_dic_fast_time_subscriber_download7">'[1]VI. Box 1'!$AJ$24</definedName>
    <definedName name="sch_dic_fast_time_subscriber_download8">'[1]VI. Box 1'!$AJ$25</definedName>
    <definedName name="sch_dic_fast_time_subscriber_download9">'[1]VI. Box 1'!$AJ$26</definedName>
    <definedName name="sch_dic_fast_time_subscriber_upload1">'[1]VI. Box 1'!$AN$18</definedName>
    <definedName name="sch_dic_fast_time_subscriber_upload10">'[1]VI. Box 1'!$AN$27</definedName>
    <definedName name="sch_dic_fast_time_subscriber_upload2">'[1]VI. Box 1'!$AN$19</definedName>
    <definedName name="sch_dic_fast_time_subscriber_upload3">'[1]VI. Box 1'!$AN$20</definedName>
    <definedName name="sch_dic_fast_time_subscriber_upload4">'[1]VI. Box 1'!$AN$21</definedName>
    <definedName name="sch_dic_fast_time_subscriber_upload5">'[1]VI. Box 1'!$AN$22</definedName>
    <definedName name="sch_dic_fast_time_subscriber_upload6">'[1]VI. Box 1'!$AN$23</definedName>
    <definedName name="sch_dic_fast_time_subscriber_upload7">'[1]VI. Box 1'!$AN$24</definedName>
    <definedName name="sch_dic_fast_time_subscriber_upload8">'[1]VI. Box 1'!$AN$25</definedName>
    <definedName name="sch_dic_fast_time_subscriber_upload9">'[1]VI. Box 1'!$AN$26</definedName>
    <definedName name="sch_dic_fast_time_upload1">'[1]VI. Box 1'!$AZ$18</definedName>
    <definedName name="sch_dic_fast_time_upload10">'[1]VI. Box 1'!$AZ$27</definedName>
    <definedName name="sch_dic_fast_time_upload2">'[1]VI. Box 1'!$AZ$19</definedName>
    <definedName name="sch_dic_fast_time_upload3">'[1]VI. Box 1'!$AZ$20</definedName>
    <definedName name="sch_dic_fast_time_upload4">'[1]VI. Box 1'!$AZ$21</definedName>
    <definedName name="sch_dic_fast_time_upload5">'[1]VI. Box 1'!$AZ$22</definedName>
    <definedName name="sch_dic_fast_time_upload6">'[1]VI. Box 1'!$AZ$23</definedName>
    <definedName name="sch_dic_fast_time_upload7">'[1]VI. Box 1'!$AZ$24</definedName>
    <definedName name="sch_dic_fast_time_upload8">'[1]VI. Box 1'!$AZ$25</definedName>
    <definedName name="sch_dic_fast_time_upload9">'[1]VI. Box 1'!$AZ$26</definedName>
    <definedName name="sch_dic_service_provider_converge">'[1]VI. Box 1'!$S$8</definedName>
    <definedName name="sch_dic_service_provider_dito">'[1]VI. Box 1'!$AE$8</definedName>
    <definedName name="sch_dic_service_provider_easterncomm">'[1]VI. Box 1'!$AE$6</definedName>
    <definedName name="sch_dic_service_provider_globe">'[1]VI. Box 1'!$G$6</definedName>
    <definedName name="sch_dic_service_provider_local">'[1]VI. Box 1'!$AE$10</definedName>
    <definedName name="sch_dic_service_provider_pldt">'[1]VI. Box 1'!$G$10</definedName>
    <definedName name="sch_dic_service_provider_skycable">'[1]VI. Box 1'!$S$6</definedName>
    <definedName name="sch_dic_service_provider_smart">'[1]VI. Box 1'!$G$8</definedName>
    <definedName name="sch_dic_service_provider_starlink">'[1]VI. Box 1'!$S$10</definedName>
    <definedName name="sch_dic_service_qua_1">'[1]VI. Box 1'!$BD$18</definedName>
    <definedName name="sch_dic_service_qua_10">'[1]VI. Box 1'!$BD$27</definedName>
    <definedName name="sch_dic_service_qua_2">'[1]VI. Box 1'!$BD$19</definedName>
    <definedName name="sch_dic_service_qua_3">'[1]VI. Box 1'!$BD$20</definedName>
    <definedName name="sch_dic_service_qua_4">'[1]VI. Box 1'!$BD$21</definedName>
    <definedName name="sch_dic_service_qua_5">'[1]VI. Box 1'!$BD$22</definedName>
    <definedName name="sch_dic_service_qua_6">'[1]VI. Box 1'!$BD$23</definedName>
    <definedName name="sch_dic_service_qua_7">'[1]VI. Box 1'!$BD$24</definedName>
    <definedName name="sch_dic_service_qua_8">'[1]VI. Box 1'!$BD$25</definedName>
    <definedName name="sch_dic_service_qua_9">'[1]VI. Box 1'!$BD$26</definedName>
    <definedName name="sch_dic_service_rel_1">'[1]VI. Box 1'!$BJ$18</definedName>
    <definedName name="sch_dic_service_rel_10">'[1]VI. Box 1'!$BJ$27</definedName>
    <definedName name="sch_dic_service_rel_2">'[1]VI. Box 1'!$BJ$19</definedName>
    <definedName name="sch_dic_service_rel_3">'[1]VI. Box 1'!$BJ$20</definedName>
    <definedName name="sch_dic_service_rel_4">'[1]VI. Box 1'!$BJ$21</definedName>
    <definedName name="sch_dic_service_rel_5">'[1]VI. Box 1'!$BJ$22</definedName>
    <definedName name="sch_dic_service_rel_6">'[1]VI. Box 1'!$BJ$23</definedName>
    <definedName name="sch_dic_service_rel_7">'[1]VI. Box 1'!$BJ$24</definedName>
    <definedName name="sch_dic_service_rel_8">'[1]VI. Box 1'!$BJ$25</definedName>
    <definedName name="sch_dic_service_rel_9">'[1]VI. Box 1'!$BJ$26</definedName>
    <definedName name="sch_disascal_hih_acnsa_apr_abu_sayyaf">'[1]XII. Table 2 (Part 1)'!$AN$17</definedName>
    <definedName name="sch_disascal_hih_acnsa_apr_biff">'[1]XII. Table 2 (Part 1)'!$AN$18</definedName>
    <definedName name="sch_disascal_hih_acnsa_apr_ccp_npa">'[1]XII. Table 2 (Part 1)'!$AN$19</definedName>
    <definedName name="sch_disascal_hih_acnsa_apr_maute">'[1]XII. Table 2 (Part 1)'!$AN$20</definedName>
    <definedName name="sch_disascal_hih_acnsa_apr_others_specify">'[1]XII. Table 2 (Part 1)'!$AN$21</definedName>
    <definedName name="sch_disascal_hih_acnsa_aug_abu_sayyaf">'[1]XII. Table 2 (Part 1)'!$X$17</definedName>
    <definedName name="sch_disascal_hih_acnsa_aug_biff">'[1]XII. Table 2 (Part 1)'!$X$18</definedName>
    <definedName name="sch_disascal_hih_acnsa_aug_ccp_npa">'[1]XII. Table 2 (Part 1)'!$X$19</definedName>
    <definedName name="sch_disascal_hih_acnsa_aug_maute">'[1]XII. Table 2 (Part 1)'!$X$20</definedName>
    <definedName name="sch_disascal_hih_acnsa_aug_others_specify">'[1]XII. Table 2 (Part 1)'!$X$21</definedName>
    <definedName name="sch_disascal_hih_acnsa_dec_abu_sayyaf">'[1]XII. Table 2 (Part 1)'!$AF$17</definedName>
    <definedName name="sch_disascal_hih_acnsa_dec_biff">'[1]XII. Table 2 (Part 1)'!$AF$18</definedName>
    <definedName name="sch_disascal_hih_acnsa_dec_ccp_npa">'[1]XII. Table 2 (Part 1)'!$AF$19</definedName>
    <definedName name="sch_disascal_hih_acnsa_dec_maute">'[1]XII. Table 2 (Part 1)'!$AF$20</definedName>
    <definedName name="sch_disascal_hih_acnsa_dec_others_specify">'[1]XII. Table 2 (Part 1)'!$AF$21</definedName>
    <definedName name="sch_disascal_hih_acnsa_feb_abu_sayyaf">'[1]XII. Table 2 (Part 1)'!$AJ$17</definedName>
    <definedName name="sch_disascal_hih_acnsa_feb_biff">'[1]XII. Table 2 (Part 1)'!$AJ$18</definedName>
    <definedName name="sch_disascal_hih_acnsa_feb_ccp_npa">'[1]XII. Table 2 (Part 1)'!$AJ$19</definedName>
    <definedName name="sch_disascal_hih_acnsa_feb_maute">'[1]XII. Table 2 (Part 1)'!$AJ$20</definedName>
    <definedName name="sch_disascal_hih_acnsa_feb_others_specify">'[1]XII. Table 2 (Part 1)'!$AJ$21</definedName>
    <definedName name="sch_disascal_hih_acnsa_jan_abu_sayyaf">'[1]XII. Table 2 (Part 1)'!$AH$17</definedName>
    <definedName name="sch_disascal_hih_acnsa_jan_biff">'[1]XII. Table 2 (Part 1)'!$AH$18</definedName>
    <definedName name="sch_disascal_hih_acnsa_jan_ccp_npa">'[1]XII. Table 2 (Part 1)'!$AH$19</definedName>
    <definedName name="sch_disascal_hih_acnsa_jan_maute">'[1]XII. Table 2 (Part 1)'!$AH$20</definedName>
    <definedName name="sch_disascal_hih_acnsa_jan_others_specify">'[1]XII. Table 2 (Part 1)'!$AH$21</definedName>
    <definedName name="sch_disascal_hih_acnsa_jul_abu_sayyaf">'[1]XII. Table 2 (Part 1)'!$V$17</definedName>
    <definedName name="sch_disascal_hih_acnsa_jul_biff">'[1]XII. Table 2 (Part 1)'!$V$18</definedName>
    <definedName name="sch_disascal_hih_acnsa_jul_ccp_npa">'[1]XII. Table 2 (Part 1)'!$V$19</definedName>
    <definedName name="sch_disascal_hih_acnsa_jul_maute">'[1]XII. Table 2 (Part 1)'!$V$20</definedName>
    <definedName name="sch_disascal_hih_acnsa_jul_others_specify">'[1]XII. Table 2 (Part 1)'!$V$21</definedName>
    <definedName name="sch_disascal_hih_acnsa_jun_abu_sayyaf">'[1]XII. Table 2 (Part 1)'!$T$17</definedName>
    <definedName name="sch_disascal_hih_acnsa_jun_biff">'[1]XII. Table 2 (Part 1)'!$T$18</definedName>
    <definedName name="sch_disascal_hih_acnsa_jun_ccp_npa">'[1]XII. Table 2 (Part 1)'!$T$19</definedName>
    <definedName name="sch_disascal_hih_acnsa_jun_maute">'[1]XII. Table 2 (Part 1)'!$T$20</definedName>
    <definedName name="sch_disascal_hih_acnsa_jun_others_specify">'[1]XII. Table 2 (Part 1)'!$T$21</definedName>
    <definedName name="sch_disascal_hih_acnsa_mar_abu_sayyaf">'[1]XII. Table 2 (Part 1)'!$AL$17</definedName>
    <definedName name="sch_disascal_hih_acnsa_mar_biff">'[1]XII. Table 2 (Part 1)'!$AL$18</definedName>
    <definedName name="sch_disascal_hih_acnsa_mar_ccp_npa">'[1]XII. Table 2 (Part 1)'!$AL$19</definedName>
    <definedName name="sch_disascal_hih_acnsa_mar_maute">'[1]XII. Table 2 (Part 1)'!$AL$20</definedName>
    <definedName name="sch_disascal_hih_acnsa_mar_others_specify">'[1]XII. Table 2 (Part 1)'!$AL$21</definedName>
    <definedName name="sch_disascal_hih_acnsa_may_abu_sayyaf">'[1]XII. Table 2 (Part 1)'!$AP$17</definedName>
    <definedName name="sch_disascal_hih_acnsa_may_biff">'[1]XII. Table 2 (Part 1)'!$AP$18</definedName>
    <definedName name="sch_disascal_hih_acnsa_may_ccp_npa">'[1]XII. Table 2 (Part 1)'!$AP$19</definedName>
    <definedName name="sch_disascal_hih_acnsa_may_maute">'[1]XII. Table 2 (Part 1)'!$AP$20</definedName>
    <definedName name="sch_disascal_hih_acnsa_may_others_specify">'[1]XII. Table 2 (Part 1)'!$AP$21</definedName>
    <definedName name="sch_disascal_hih_acnsa_nov_abu_sayyaf">'[1]XII. Table 2 (Part 1)'!$AD$17</definedName>
    <definedName name="sch_disascal_hih_acnsa_nov_biff">'[1]XII. Table 2 (Part 1)'!$AD$18</definedName>
    <definedName name="sch_disascal_hih_acnsa_nov_ccp_npa">'[1]XII. Table 2 (Part 1)'!$AD$19</definedName>
    <definedName name="sch_disascal_hih_acnsa_nov_maute">'[1]XII. Table 2 (Part 1)'!$AD$20</definedName>
    <definedName name="sch_disascal_hih_acnsa_nov_others_specify">'[1]XII. Table 2 (Part 1)'!$AD$21</definedName>
    <definedName name="sch_disascal_hih_acnsa_oct_abu_sayyaf">'[1]XII. Table 2 (Part 1)'!$AB$17</definedName>
    <definedName name="sch_disascal_hih_acnsa_oct_biff">'[1]XII. Table 2 (Part 1)'!$AB$18</definedName>
    <definedName name="sch_disascal_hih_acnsa_oct_ccp_npa">'[1]XII. Table 2 (Part 1)'!$AB$19</definedName>
    <definedName name="sch_disascal_hih_acnsa_oct_maute">'[1]XII. Table 2 (Part 1)'!$AB$20</definedName>
    <definedName name="sch_disascal_hih_acnsa_oct_others_specify">'[1]XII. Table 2 (Part 1)'!$AB$21</definedName>
    <definedName name="sch_disascal_hih_acnsa_others_specify">'[1]XII. Table 2 (Part 1)'!$J$21</definedName>
    <definedName name="sch_disascal_hih_acnsa_sep_abu_sayyaf">'[1]XII. Table 2 (Part 1)'!$Z$17</definedName>
    <definedName name="sch_disascal_hih_acnsa_sep_biff">'[1]XII. Table 2 (Part 1)'!$Z$18</definedName>
    <definedName name="sch_disascal_hih_acnsa_sep_ccp_npa">'[1]XII. Table 2 (Part 1)'!$Z$19</definedName>
    <definedName name="sch_disascal_hih_acnsa_sep_maute">'[1]XII. Table 2 (Part 1)'!$Z$20</definedName>
    <definedName name="sch_disascal_hih_acnsa_sep_others_specify">'[1]XII. Table 2 (Part 1)'!$Z$21</definedName>
    <definedName name="sch_disascal_hih_acsa_apr_afp">'[1]XII. Table 2 (Part 1)'!$AN$13</definedName>
    <definedName name="sch_disascal_hih_acsa_apr_others_specify">'[1]XII. Table 2 (Part 1)'!$AN$15</definedName>
    <definedName name="sch_disascal_hih_acsa_apr_pnp">'[1]XII. Table 2 (Part 1)'!$AN$14</definedName>
    <definedName name="sch_disascal_hih_acsa_armed_conflict_prevyr_april">'[1]XII. Table 2 (Part 1)'!$AN$10</definedName>
    <definedName name="sch_disascal_hih_acsa_armed_conflict_prevyr_aug">'[1]XII. Table 2 (Part 1)'!$X$10</definedName>
    <definedName name="sch_disascal_hih_acsa_armed_conflict_prevyr_dec">'[1]XII. Table 2 (Part 1)'!$AF$10</definedName>
    <definedName name="sch_disascal_hih_acsa_armed_conflict_prevyr_feb">'[1]XII. Table 2 (Part 1)'!$AJ$10</definedName>
    <definedName name="sch_disascal_hih_acsa_armed_conflict_prevyr_jan">'[1]XII. Table 2 (Part 1)'!$AH$10</definedName>
    <definedName name="sch_disascal_hih_acsa_armed_conflict_prevyr_jul">'[1]XII. Table 2 (Part 1)'!$V$10</definedName>
    <definedName name="sch_disascal_hih_acsa_armed_conflict_prevyr_jun">'[1]XII. Table 2 (Part 1)'!$T$10</definedName>
    <definedName name="sch_disascal_hih_acsa_armed_conflict_prevyr_mar">'[1]XII. Table 2 (Part 1)'!$AL$10</definedName>
    <definedName name="sch_disascal_hih_acsa_armed_conflict_prevyr_may">'[1]XII. Table 2 (Part 1)'!$AP$10</definedName>
    <definedName name="sch_disascal_hih_acsa_armed_conflict_prevyr_nov">'[1]XII. Table 2 (Part 1)'!$AD$10</definedName>
    <definedName name="sch_disascal_hih_acsa_armed_conflict_prevyr_oct">'[1]XII. Table 2 (Part 1)'!$AB$10</definedName>
    <definedName name="sch_disascal_hih_acsa_armed_conflict_prevyr_sept">'[1]XII. Table 2 (Part 1)'!$Z$10</definedName>
    <definedName name="sch_disascal_hih_acsa_aug_afp">'[1]XII. Table 2 (Part 1)'!$X$13</definedName>
    <definedName name="sch_disascal_hih_acsa_aug_others_specify">'[1]XII. Table 2 (Part 1)'!$X$15</definedName>
    <definedName name="sch_disascal_hih_acsa_aug_pnp">'[1]XII. Table 2 (Part 1)'!$X$14</definedName>
    <definedName name="sch_disascal_hih_acsa_dec_afp">'[1]XII. Table 2 (Part 1)'!$AF$13</definedName>
    <definedName name="sch_disascal_hih_acsa_dec_others_specify">'[1]XII. Table 2 (Part 1)'!$AF$15</definedName>
    <definedName name="sch_disascal_hih_acsa_dec_pnp">'[1]XII. Table 2 (Part 1)'!$AF$14</definedName>
    <definedName name="sch_disascal_hih_acsa_feb_afp">'[1]XII. Table 2 (Part 1)'!$AJ$13</definedName>
    <definedName name="sch_disascal_hih_acsa_feb_others_specify">'[1]XII. Table 2 (Part 1)'!$AJ$15</definedName>
    <definedName name="sch_disascal_hih_acsa_feb_pnp">'[1]XII. Table 2 (Part 1)'!$AJ$14</definedName>
    <definedName name="sch_disascal_hih_acsa_jan_afp">'[1]XII. Table 2 (Part 1)'!$AH$13</definedName>
    <definedName name="sch_disascal_hih_acsa_jan_others_specify">'[1]XII. Table 2 (Part 1)'!$AH$15</definedName>
    <definedName name="sch_disascal_hih_acsa_jan_pnp">'[1]XII. Table 2 (Part 1)'!$AH$14</definedName>
    <definedName name="sch_disascal_hih_acsa_jul_afp">'[1]XII. Table 2 (Part 1)'!$V$13</definedName>
    <definedName name="sch_disascal_hih_acsa_jul_others_specify">'[1]XII. Table 2 (Part 1)'!$V$15</definedName>
    <definedName name="sch_disascal_hih_acsa_jul_pnp">'[1]XII. Table 2 (Part 1)'!$V$14</definedName>
    <definedName name="sch_disascal_hih_acsa_jun_afp">'[1]XII. Table 2 (Part 1)'!$T$13</definedName>
    <definedName name="sch_disascal_hih_acsa_jun_others_specify">'[1]XII. Table 2 (Part 1)'!$T$15</definedName>
    <definedName name="sch_disascal_hih_acsa_jun_pnp">'[1]XII. Table 2 (Part 1)'!$T$14</definedName>
    <definedName name="sch_disascal_hih_acsa_mar_afp">'[1]XII. Table 2 (Part 1)'!$AL$13</definedName>
    <definedName name="sch_disascal_hih_acsa_mar_others_specify">'[1]XII. Table 2 (Part 1)'!$AL$15</definedName>
    <definedName name="sch_disascal_hih_acsa_mar_pnp">'[1]XII. Table 2 (Part 1)'!$AL$14</definedName>
    <definedName name="sch_disascal_hih_acsa_may_afp">'[1]XII. Table 2 (Part 1)'!$AP$13</definedName>
    <definedName name="sch_disascal_hih_acsa_may_others_specify">'[1]XII. Table 2 (Part 1)'!$AP$15</definedName>
    <definedName name="sch_disascal_hih_acsa_may_pnp">'[1]XII. Table 2 (Part 1)'!$AP$14</definedName>
    <definedName name="sch_disascal_hih_acsa_nov_afp">'[1]XII. Table 2 (Part 1)'!$AD$13</definedName>
    <definedName name="sch_disascal_hih_acsa_nov_others_specify">'[1]XII. Table 2 (Part 1)'!$AD$15</definedName>
    <definedName name="sch_disascal_hih_acsa_nov_pnp">'[1]XII. Table 2 (Part 1)'!$AD$14</definedName>
    <definedName name="sch_disascal_hih_acsa_oct_afp">'[1]XII. Table 2 (Part 1)'!$AB$13</definedName>
    <definedName name="sch_disascal_hih_acsa_oct_others_specify">'[1]XII. Table 2 (Part 1)'!$AB$15</definedName>
    <definedName name="sch_disascal_hih_acsa_oct_pnp">'[1]XII. Table 2 (Part 1)'!$AB$14</definedName>
    <definedName name="sch_disascal_hih_acsa_others_specify">'[1]XII. Table 2 (Part 1)'!$J$15</definedName>
    <definedName name="sch_disascal_hih_acsa_sep_afp">'[1]XII. Table 2 (Part 1)'!$Z$13</definedName>
    <definedName name="sch_disascal_hih_acsa_sep_others_specify">'[1]XII. Table 2 (Part 1)'!$Z$15</definedName>
    <definedName name="sch_disascal_hih_acsa_sep_pnp">'[1]XII. Table 2 (Part 1)'!$Z$14</definedName>
    <definedName name="sch_disascal_hih_child_apr_abduction">'[1]XII. Table 2 (Part 2)'!$AN$11</definedName>
    <definedName name="sch_disascal_hih_child_apr_attacks">'[1]XII. Table 2 (Part 2)'!$AN$12</definedName>
    <definedName name="sch_disascal_hih_child_apr_denial">'[1]XII. Table 2 (Part 2)'!$AN$13</definedName>
    <definedName name="sch_disascal_hih_child_apr_killing">'[1]XII. Table 2 (Part 2)'!$AN$10</definedName>
    <definedName name="sch_disascal_hih_child_apr_recruit">'[1]XII. Table 2 (Part 2)'!$AN$14</definedName>
    <definedName name="sch_disascal_hih_child_apr_sexual">'[1]XII. Table 2 (Part 2)'!$AN$15</definedName>
    <definedName name="sch_disascal_hih_child_aug_abduction">'[1]XII. Table 2 (Part 2)'!$X$11</definedName>
    <definedName name="sch_disascal_hih_child_aug_attacks">'[1]XII. Table 2 (Part 2)'!$X$12</definedName>
    <definedName name="sch_disascal_hih_child_aug_denial">'[1]XII. Table 2 (Part 2)'!$X$13</definedName>
    <definedName name="sch_disascal_hih_child_aug_killing">'[1]XII. Table 2 (Part 2)'!$X$10</definedName>
    <definedName name="sch_disascal_hih_child_aug_recruit">'[1]XII. Table 2 (Part 2)'!$X$14</definedName>
    <definedName name="sch_disascal_hih_child_aug_sexual">'[1]XII. Table 2 (Part 2)'!$X$15</definedName>
    <definedName name="sch_disascal_hih_child_dec_abduction">'[1]XII. Table 2 (Part 2)'!$AF$11</definedName>
    <definedName name="sch_disascal_hih_child_dec_attacks">'[1]XII. Table 2 (Part 2)'!$AF$12</definedName>
    <definedName name="sch_disascal_hih_child_dec_denial">'[1]XII. Table 2 (Part 2)'!$AF$13</definedName>
    <definedName name="sch_disascal_hih_child_dec_killing">'[1]XII. Table 2 (Part 2)'!$AF$10</definedName>
    <definedName name="sch_disascal_hih_child_dec_recruit">'[1]XII. Table 2 (Part 2)'!$AF$14</definedName>
    <definedName name="sch_disascal_hih_child_dec_sexual">'[1]XII. Table 2 (Part 2)'!$AF$15</definedName>
    <definedName name="sch_disascal_hih_child_feb_abduction">'[1]XII. Table 2 (Part 2)'!$AJ$11</definedName>
    <definedName name="sch_disascal_hih_child_feb_attacks">'[1]XII. Table 2 (Part 2)'!$AJ$12</definedName>
    <definedName name="sch_disascal_hih_child_feb_denial">'[1]XII. Table 2 (Part 2)'!$AJ$13</definedName>
    <definedName name="sch_disascal_hih_child_feb_killing">'[1]XII. Table 2 (Part 2)'!$AJ$10</definedName>
    <definedName name="sch_disascal_hih_child_feb_recruit">'[1]XII. Table 2 (Part 2)'!$AJ$14</definedName>
    <definedName name="sch_disascal_hih_child_feb_sexual">'[1]XII. Table 2 (Part 2)'!$AJ$15</definedName>
    <definedName name="sch_disascal_hih_child_jan_abduction">'[1]XII. Table 2 (Part 2)'!$AH$11</definedName>
    <definedName name="sch_disascal_hih_child_jan_attacks">'[1]XII. Table 2 (Part 2)'!$AH$12</definedName>
    <definedName name="sch_disascal_hih_child_jan_denial">'[1]XII. Table 2 (Part 2)'!$AH$13</definedName>
    <definedName name="sch_disascal_hih_child_jan_killing">'[1]XII. Table 2 (Part 2)'!$AH$10</definedName>
    <definedName name="sch_disascal_hih_child_jan_recruit">'[1]XII. Table 2 (Part 2)'!$AH$14</definedName>
    <definedName name="sch_disascal_hih_child_jan_sexual">'[1]XII. Table 2 (Part 2)'!$AH$15</definedName>
    <definedName name="sch_disascal_hih_child_jul_abduction">'[1]XII. Table 2 (Part 2)'!$V$11</definedName>
    <definedName name="sch_disascal_hih_child_jul_attacks">'[1]XII. Table 2 (Part 2)'!$V$12</definedName>
    <definedName name="sch_disascal_hih_child_jul_denial">'[1]XII. Table 2 (Part 2)'!$V$13</definedName>
    <definedName name="sch_disascal_hih_child_jul_killing">'[1]XII. Table 2 (Part 2)'!$V$10</definedName>
    <definedName name="sch_disascal_hih_child_jul_recruit">'[1]XII. Table 2 (Part 2)'!$V$14</definedName>
    <definedName name="sch_disascal_hih_child_jul_sexual">'[1]XII. Table 2 (Part 2)'!$V$15</definedName>
    <definedName name="sch_disascal_hih_child_jun_abduction">'[1]XII. Table 2 (Part 2)'!$T$11</definedName>
    <definedName name="sch_disascal_hih_child_jun_attacks">'[1]XII. Table 2 (Part 2)'!$T$12</definedName>
    <definedName name="sch_disascal_hih_child_jun_denial">'[1]XII. Table 2 (Part 2)'!$T$13</definedName>
    <definedName name="sch_disascal_hih_child_jun_killing">'[1]XII. Table 2 (Part 2)'!$T$10</definedName>
    <definedName name="sch_disascal_hih_child_jun_recruit">'[1]XII. Table 2 (Part 2)'!$T$14</definedName>
    <definedName name="sch_disascal_hih_child_jun_sexual">'[1]XII. Table 2 (Part 2)'!$T$15</definedName>
    <definedName name="sch_disascal_hih_child_mar_abduction">'[1]XII. Table 2 (Part 2)'!$AL$11</definedName>
    <definedName name="sch_disascal_hih_child_mar_attacks">'[1]XII. Table 2 (Part 2)'!$AL$12</definedName>
    <definedName name="sch_disascal_hih_child_mar_denial">'[1]XII. Table 2 (Part 2)'!$AL$13</definedName>
    <definedName name="sch_disascal_hih_child_mar_killing">'[1]XII. Table 2 (Part 2)'!$AL$10</definedName>
    <definedName name="sch_disascal_hih_child_mar_recruit">'[1]XII. Table 2 (Part 2)'!$AL$14</definedName>
    <definedName name="sch_disascal_hih_child_mar_sexual">'[1]XII. Table 2 (Part 2)'!$AL$15</definedName>
    <definedName name="sch_disascal_hih_child_may_abduction">'[1]XII. Table 2 (Part 2)'!$AP$11</definedName>
    <definedName name="sch_disascal_hih_child_may_attacks">'[1]XII. Table 2 (Part 2)'!$AP$12</definedName>
    <definedName name="sch_disascal_hih_child_may_denial">'[1]XII. Table 2 (Part 2)'!$AP$13</definedName>
    <definedName name="sch_disascal_hih_child_may_killing">'[1]XII. Table 2 (Part 2)'!$AP$10</definedName>
    <definedName name="sch_disascal_hih_child_may_recruit">'[1]XII. Table 2 (Part 2)'!$AP$14</definedName>
    <definedName name="sch_disascal_hih_child_may_sexual">'[1]XII. Table 2 (Part 2)'!$AP$15</definedName>
    <definedName name="sch_disascal_hih_child_nov_abduction">'[1]XII. Table 2 (Part 2)'!$AD$11</definedName>
    <definedName name="sch_disascal_hih_child_nov_attacks">'[1]XII. Table 2 (Part 2)'!$AD$12</definedName>
    <definedName name="sch_disascal_hih_child_nov_denial">'[1]XII. Table 2 (Part 2)'!$AD$13</definedName>
    <definedName name="sch_disascal_hih_child_nov_killing">'[1]XII. Table 2 (Part 2)'!$AD$10</definedName>
    <definedName name="sch_disascal_hih_child_nov_recruit">'[1]XII. Table 2 (Part 2)'!$AD$14</definedName>
    <definedName name="sch_disascal_hih_child_nov_sexual">'[1]XII. Table 2 (Part 2)'!$AD$15</definedName>
    <definedName name="sch_disascal_hih_child_oct_abduction">'[1]XII. Table 2 (Part 2)'!$AB$11</definedName>
    <definedName name="sch_disascal_hih_child_oct_attacks">'[1]XII. Table 2 (Part 2)'!$AB$12</definedName>
    <definedName name="sch_disascal_hih_child_oct_denial">'[1]XII. Table 2 (Part 2)'!$AB$13</definedName>
    <definedName name="sch_disascal_hih_child_oct_killing">'[1]XII. Table 2 (Part 2)'!$AB$10</definedName>
    <definedName name="sch_disascal_hih_child_oct_recruit">'[1]XII. Table 2 (Part 2)'!$AB$14</definedName>
    <definedName name="sch_disascal_hih_child_oct_sexual">'[1]XII. Table 2 (Part 2)'!$AB$15</definedName>
    <definedName name="sch_disascal_hih_child_sep_abduction">'[1]XII. Table 2 (Part 2)'!$Z$11</definedName>
    <definedName name="sch_disascal_hih_child_sep_attacks">'[1]XII. Table 2 (Part 2)'!$Z$12</definedName>
    <definedName name="sch_disascal_hih_child_sep_denial">'[1]XII. Table 2 (Part 2)'!$Z$13</definedName>
    <definedName name="sch_disascal_hih_child_sep_killing">'[1]XII. Table 2 (Part 2)'!$Z$10</definedName>
    <definedName name="sch_disascal_hih_child_sep_recruit">'[1]XII. Table 2 (Part 2)'!$Z$14</definedName>
    <definedName name="sch_disascal_hih_child_sep_sexual">'[1]XII. Table 2 (Part 2)'!$Z$15</definedName>
    <definedName name="sch_disascal_hih_others_apr_bombing">'[1]XII. Table 2 (Part 2)'!$AN$18</definedName>
    <definedName name="sch_disascal_hih_others_apr_collapse">'[1]XII. Table 2 (Part 2)'!$AN$24</definedName>
    <definedName name="sch_disascal_hih_others_apr_fire">'[1]XII. Table 2 (Part 2)'!$AN$19</definedName>
    <definedName name="sch_disascal_hih_others_apr_health">'[1]XII. Table 2 (Part 2)'!$AN$21</definedName>
    <definedName name="sch_disascal_hih_others_apr_hmi">'[1]XII. Table 2 (Part 2)'!$AN$20</definedName>
    <definedName name="sch_disascal_hih_others_apr_hostage">'[1]XII. Table 2 (Part 2)'!$AN$22</definedName>
    <definedName name="sch_disascal_hih_others_apr_others_specify">'[1]XII. Table 2 (Part 2)'!$AN$25</definedName>
    <definedName name="sch_disascal_hih_others_apr_shooting">'[1]XII. Table 2 (Part 2)'!$AN$23</definedName>
    <definedName name="sch_disascal_hih_others_apr_threat">'[1]XII. Table 2 (Part 2)'!$AN$17</definedName>
    <definedName name="sch_disascal_hih_others_aug_bombing">'[1]XII. Table 2 (Part 2)'!$X$18</definedName>
    <definedName name="sch_disascal_hih_others_aug_collapse">'[1]XII. Table 2 (Part 2)'!$X$24</definedName>
    <definedName name="sch_disascal_hih_others_aug_fire">'[1]XII. Table 2 (Part 2)'!$X$19</definedName>
    <definedName name="sch_disascal_hih_others_aug_health">'[1]XII. Table 2 (Part 2)'!$X$21</definedName>
    <definedName name="sch_disascal_hih_others_aug_hmi">'[1]XII. Table 2 (Part 2)'!$X$20</definedName>
    <definedName name="sch_disascal_hih_others_aug_hostage">'[1]XII. Table 2 (Part 2)'!$X$22</definedName>
    <definedName name="sch_disascal_hih_others_aug_others_specify">'[1]XII. Table 2 (Part 2)'!$X$25</definedName>
    <definedName name="sch_disascal_hih_others_aug_shooting">'[1]XII. Table 2 (Part 2)'!$X$23</definedName>
    <definedName name="sch_disascal_hih_others_aug_threat">'[1]XII. Table 2 (Part 2)'!$X$17</definedName>
    <definedName name="sch_disascal_hih_others_dec_bombing">'[1]XII. Table 2 (Part 2)'!$AF$18</definedName>
    <definedName name="sch_disascal_hih_others_dec_collapse">'[1]XII. Table 2 (Part 2)'!$AF$24</definedName>
    <definedName name="sch_disascal_hih_others_dec_fire">'[1]XII. Table 2 (Part 2)'!$AF$19</definedName>
    <definedName name="sch_disascal_hih_others_dec_health">'[1]XII. Table 2 (Part 2)'!$AF$21</definedName>
    <definedName name="sch_disascal_hih_others_dec_hmi">'[1]XII. Table 2 (Part 2)'!$AF$20</definedName>
    <definedName name="sch_disascal_hih_others_dec_hostage">'[1]XII. Table 2 (Part 2)'!$AF$22</definedName>
    <definedName name="sch_disascal_hih_others_dec_others_specify">'[1]XII. Table 2 (Part 2)'!$AF$25</definedName>
    <definedName name="sch_disascal_hih_others_dec_shooting">'[1]XII. Table 2 (Part 2)'!$AF$23</definedName>
    <definedName name="sch_disascal_hih_others_dec_threat">'[1]XII. Table 2 (Part 2)'!$AF$17</definedName>
    <definedName name="sch_disascal_hih_others_feb_bombing">'[1]XII. Table 2 (Part 2)'!$AJ$18</definedName>
    <definedName name="sch_disascal_hih_others_feb_collapse">'[1]XII. Table 2 (Part 2)'!$AJ$24</definedName>
    <definedName name="sch_disascal_hih_others_feb_fire">'[1]XII. Table 2 (Part 2)'!$AJ$19</definedName>
    <definedName name="sch_disascal_hih_others_feb_health">'[1]XII. Table 2 (Part 2)'!$AJ$21</definedName>
    <definedName name="sch_disascal_hih_others_feb_hmi">'[1]XII. Table 2 (Part 2)'!$AJ$20</definedName>
    <definedName name="sch_disascal_hih_others_feb_hostage">'[1]XII. Table 2 (Part 2)'!$AJ$22</definedName>
    <definedName name="sch_disascal_hih_others_feb_others_specify">'[1]XII. Table 2 (Part 2)'!$AJ$25</definedName>
    <definedName name="sch_disascal_hih_others_feb_shooting">'[1]XII. Table 2 (Part 2)'!$AJ$23</definedName>
    <definedName name="sch_disascal_hih_others_feb_threat">'[1]XII. Table 2 (Part 2)'!$AJ$17</definedName>
    <definedName name="sch_disascal_hih_others_jan_bombing">'[1]XII. Table 2 (Part 2)'!$AH$18</definedName>
    <definedName name="sch_disascal_hih_others_jan_collapse">'[1]XII. Table 2 (Part 2)'!$AH$24</definedName>
    <definedName name="sch_disascal_hih_others_jan_fire">'[1]XII. Table 2 (Part 2)'!$AH$19</definedName>
    <definedName name="sch_disascal_hih_others_jan_health">'[1]XII. Table 2 (Part 2)'!$AH$21</definedName>
    <definedName name="sch_disascal_hih_others_jan_hmi">'[1]XII. Table 2 (Part 2)'!$AH$20</definedName>
    <definedName name="sch_disascal_hih_others_jan_hostage">'[1]XII. Table 2 (Part 2)'!$AH$22</definedName>
    <definedName name="sch_disascal_hih_others_jan_others_specify">'[1]XII. Table 2 (Part 2)'!$AH$25</definedName>
    <definedName name="sch_disascal_hih_others_jan_shooting">'[1]XII. Table 2 (Part 2)'!$AH$23</definedName>
    <definedName name="sch_disascal_hih_others_jan_threat">'[1]XII. Table 2 (Part 2)'!$AH$17</definedName>
    <definedName name="sch_disascal_hih_others_jul_bombing">'[1]XII. Table 2 (Part 2)'!$V$18</definedName>
    <definedName name="sch_disascal_hih_others_jul_collapse">'[1]XII. Table 2 (Part 2)'!$V$24</definedName>
    <definedName name="sch_disascal_hih_others_jul_fire">'[1]XII. Table 2 (Part 2)'!$V$19</definedName>
    <definedName name="sch_disascal_hih_others_jul_health">'[1]XII. Table 2 (Part 2)'!$V$21</definedName>
    <definedName name="sch_disascal_hih_others_jul_hmi">'[1]XII. Table 2 (Part 2)'!$V$20</definedName>
    <definedName name="sch_disascal_hih_others_jul_hostage">'[1]XII. Table 2 (Part 2)'!$V$22</definedName>
    <definedName name="sch_disascal_hih_others_jul_others_specify">'[1]XII. Table 2 (Part 2)'!$V$25</definedName>
    <definedName name="sch_disascal_hih_others_jul_shooting">'[1]XII. Table 2 (Part 2)'!$V$23</definedName>
    <definedName name="sch_disascal_hih_others_jul_threat">'[1]XII. Table 2 (Part 2)'!$V$17</definedName>
    <definedName name="sch_disascal_hih_others_jun_bombing">'[1]XII. Table 2 (Part 2)'!$T$18</definedName>
    <definedName name="sch_disascal_hih_others_jun_collapse">'[1]XII. Table 2 (Part 2)'!$T$24</definedName>
    <definedName name="sch_disascal_hih_others_jun_fire">'[1]XII. Table 2 (Part 2)'!$T$19</definedName>
    <definedName name="sch_disascal_hih_others_jun_health">'[1]XII. Table 2 (Part 2)'!$T$21</definedName>
    <definedName name="sch_disascal_hih_others_jun_hmi">'[1]XII. Table 2 (Part 2)'!$T$20</definedName>
    <definedName name="sch_disascal_hih_others_jun_hostage">'[1]XII. Table 2 (Part 2)'!$T$22</definedName>
    <definedName name="sch_disascal_hih_others_jun_others_specify">'[1]XII. Table 2 (Part 2)'!$T$25</definedName>
    <definedName name="sch_disascal_hih_others_jun_shooting">'[1]XII. Table 2 (Part 2)'!$T$23</definedName>
    <definedName name="sch_disascal_hih_others_jun_threat">'[1]XII. Table 2 (Part 2)'!$T$17</definedName>
    <definedName name="sch_disascal_hih_others_mar_bombing">'[1]XII. Table 2 (Part 2)'!$AL$18</definedName>
    <definedName name="sch_disascal_hih_others_mar_collapse">'[1]XII. Table 2 (Part 2)'!$AL$24</definedName>
    <definedName name="sch_disascal_hih_others_mar_fire">'[1]XII. Table 2 (Part 2)'!$AL$19</definedName>
    <definedName name="sch_disascal_hih_others_mar_health">'[1]XII. Table 2 (Part 2)'!$AL$21</definedName>
    <definedName name="sch_disascal_hih_others_mar_hmi">'[1]XII. Table 2 (Part 2)'!$AL$20</definedName>
    <definedName name="sch_disascal_hih_others_mar_hostage">'[1]XII. Table 2 (Part 2)'!$AL$22</definedName>
    <definedName name="sch_disascal_hih_others_mar_others_specify">'[1]XII. Table 2 (Part 2)'!$AL$25</definedName>
    <definedName name="sch_disascal_hih_others_mar_shooting">'[1]XII. Table 2 (Part 2)'!$AL$23</definedName>
    <definedName name="sch_disascal_hih_others_mar_threat">'[1]XII. Table 2 (Part 2)'!$AL$17</definedName>
    <definedName name="sch_disascal_hih_others_may_bombing">'[1]XII. Table 2 (Part 2)'!$AP$18</definedName>
    <definedName name="sch_disascal_hih_others_may_collapse">'[1]XII. Table 2 (Part 2)'!$AP$24</definedName>
    <definedName name="sch_disascal_hih_others_may_fire">'[1]XII. Table 2 (Part 2)'!$AP$19</definedName>
    <definedName name="sch_disascal_hih_others_may_health">'[1]XII. Table 2 (Part 2)'!$AP$21</definedName>
    <definedName name="sch_disascal_hih_others_may_hmi">'[1]XII. Table 2 (Part 2)'!$AP$20</definedName>
    <definedName name="sch_disascal_hih_others_may_hostage">'[1]XII. Table 2 (Part 2)'!$AP$22</definedName>
    <definedName name="sch_disascal_hih_others_may_others_specify">'[1]XII. Table 2 (Part 2)'!$AP$25</definedName>
    <definedName name="sch_disascal_hih_others_may_shooting">'[1]XII. Table 2 (Part 2)'!$AP$23</definedName>
    <definedName name="sch_disascal_hih_others_may_threat">'[1]XII. Table 2 (Part 2)'!$AP$17</definedName>
    <definedName name="sch_disascal_hih_others_nov_bombing">'[1]XII. Table 2 (Part 2)'!$AD$18</definedName>
    <definedName name="sch_disascal_hih_others_nov_collapse">'[1]XII. Table 2 (Part 2)'!$AD$24</definedName>
    <definedName name="sch_disascal_hih_others_nov_fire">'[1]XII. Table 2 (Part 2)'!$AD$19</definedName>
    <definedName name="sch_disascal_hih_others_nov_health">'[1]XII. Table 2 (Part 2)'!$AD$21</definedName>
    <definedName name="sch_disascal_hih_others_nov_hmi">'[1]XII. Table 2 (Part 2)'!$AD$20</definedName>
    <definedName name="sch_disascal_hih_others_nov_hostage">'[1]XII. Table 2 (Part 2)'!$AD$22</definedName>
    <definedName name="sch_disascal_hih_others_nov_others_specify">'[1]XII. Table 2 (Part 2)'!$AD$25</definedName>
    <definedName name="sch_disascal_hih_others_nov_shooting">'[1]XII. Table 2 (Part 2)'!$AD$23</definedName>
    <definedName name="sch_disascal_hih_others_nov_threat">'[1]XII. Table 2 (Part 2)'!$AD$17</definedName>
    <definedName name="sch_disascal_hih_others_oct_bombing">'[1]XII. Table 2 (Part 2)'!$AB$18</definedName>
    <definedName name="sch_disascal_hih_others_oct_collapse">'[1]XII. Table 2 (Part 2)'!$AB$24</definedName>
    <definedName name="sch_disascal_hih_others_oct_fire">'[1]XII. Table 2 (Part 2)'!$AB$19</definedName>
    <definedName name="sch_disascal_hih_others_oct_health">'[1]XII. Table 2 (Part 2)'!$AB$21</definedName>
    <definedName name="sch_disascal_hih_others_oct_hmi">'[1]XII. Table 2 (Part 2)'!$AB$20</definedName>
    <definedName name="sch_disascal_hih_others_oct_hostage">'[1]XII. Table 2 (Part 2)'!$AB$22</definedName>
    <definedName name="sch_disascal_hih_others_oct_others_specify">'[1]XII. Table 2 (Part 2)'!$AB$25</definedName>
    <definedName name="sch_disascal_hih_others_oct_shooting">'[1]XII. Table 2 (Part 2)'!$AB$23</definedName>
    <definedName name="sch_disascal_hih_others_oct_threat">'[1]XII. Table 2 (Part 2)'!$AB$17</definedName>
    <definedName name="sch_disascal_hih_others_sep_bombing">'[1]XII. Table 2 (Part 2)'!$Z$18</definedName>
    <definedName name="sch_disascal_hih_others_sep_collapse">'[1]XII. Table 2 (Part 2)'!$Z$24</definedName>
    <definedName name="sch_disascal_hih_others_sep_fire">'[1]XII. Table 2 (Part 2)'!$Z$19</definedName>
    <definedName name="sch_disascal_hih_others_sep_health">'[1]XII. Table 2 (Part 2)'!$Z$21</definedName>
    <definedName name="sch_disascal_hih_others_sep_hmi">'[1]XII. Table 2 (Part 2)'!$Z$20</definedName>
    <definedName name="sch_disascal_hih_others_sep_hostage">'[1]XII. Table 2 (Part 2)'!$Z$22</definedName>
    <definedName name="sch_disascal_hih_others_sep_others_specify">'[1]XII. Table 2 (Part 2)'!$Z$25</definedName>
    <definedName name="sch_disascal_hih_others_sep_shooting">'[1]XII. Table 2 (Part 2)'!$Z$23</definedName>
    <definedName name="sch_disascal_hih_others_sep_threat">'[1]XII. Table 2 (Part 2)'!$Z$17</definedName>
    <definedName name="sch_disascal_hih_others_specify">'[1]XII. Table 2 (Part 2)'!$J$25</definedName>
    <definedName name="sch_dist">'[1]School Profile'!$AH$23</definedName>
    <definedName name="sch_division">'[1]School Profile'!$AH$22</definedName>
    <definedName name="sch_docu_mou_moa_ff_jmc2013_ra10821">'[1]XII. Box 3 (Parts 1 and 2)'!$D$22</definedName>
    <definedName name="sch_email_add">'[1]School Profile'!$G$29</definedName>
    <definedName name="sch_esp_ccam_g10">'[1]XII. Box 4 (Part 1)'!$AR$25</definedName>
    <definedName name="sch_esp_ccam_g7">'[1]XII. Box 4 (Part 1)'!$AI$25</definedName>
    <definedName name="sch_esp_ccam_g8">'[1]XII. Box 4 (Part 1)'!$AL$25</definedName>
    <definedName name="sch_esp_ccam_g9">'[1]XII. Box 4 (Part 1)'!$AO$25</definedName>
    <definedName name="sch_esp_drrm_g10">'[1]XII. Box 4 (Part 1)'!$AF$25</definedName>
    <definedName name="sch_esp_drrm_g7">'[1]XII. Box 4 (Part 1)'!$W$25</definedName>
    <definedName name="sch_esp_drrm_g8">'[1]XII. Box 4 (Part 1)'!$Z$25</definedName>
    <definedName name="sch_esp_drrm_g9">'[1]XII. Box 4 (Part 1)'!$AC$25</definedName>
    <definedName name="sch_estab_feedback_toreport_recovery_intervention">'[1]XII. Box 3 (Part 3)'!$D$81</definedName>
    <definedName name="sch_exca_bull_amongsper_shs">'IX. Box 4'!$M$48</definedName>
    <definedName name="sch_exca_depression_amongsper_shs">'IX. Box 4'!$S$48</definedName>
    <definedName name="sch_exca_mhcrmangement_amongsper_shs">'IX. Box 4'!$AQ$48</definedName>
    <definedName name="sch_exca_psychological_amongsper_shs">'IX. Box 4'!$AK$48</definedName>
    <definedName name="sch_exca_selfcare_amongsper_shs">'IX. Box 4'!$AE$48</definedName>
    <definedName name="sch_exca_suicideprevention_amongsper_shs">'IX. Box 4'!$Y$48</definedName>
    <definedName name="sch_farm_sch">'[1]School Profile'!$AD$38</definedName>
    <definedName name="sch_fax_no">'[1]School Profile'!$AH$27</definedName>
    <definedName name="sch_female_learners_given_wifa_jan_mar_2021_g11">'IX. Table 1.C &amp; 1.D'!$AP$37</definedName>
    <definedName name="sch_female_learners_given_wifa_jan_mar_2021_g12">'IX. Table 1.C &amp; 1.D'!$AU$37</definedName>
    <definedName name="sch_female_learners_given_wifa_july_sept_2020_g11">'IX. Table 1.C &amp; 1.D'!$AP$35</definedName>
    <definedName name="sch_female_learners_given_wifa_july_sept_2020_g12">'IX. Table 1.C &amp; 1.D'!$AU$35</definedName>
    <definedName name="sch_functional_early_warning_system">'[1]XII. Box 3 (Parts 1 and 2)'!$D$40</definedName>
    <definedName name="sch_guidanceofc_ifyes">'IX. Box 4'!$U$6</definedName>
    <definedName name="sch_has_drrmccampbp_iec_materials_posted">'[1]XII. Box 4 (Part 2)'!$D$9</definedName>
    <definedName name="sch_head_budget_maintenance_instruct_noninstruct_spaces">'[1]XII. Box 2'!$D$44</definedName>
    <definedName name="sch_health_ccam_g10">'[1]XII. Box 4 (Part 1)'!$AR$27</definedName>
    <definedName name="sch_health_ccam_g7">'[1]XII. Box 4 (Part 1)'!$AI$27</definedName>
    <definedName name="sch_health_ccam_g8">'[1]XII. Box 4 (Part 1)'!$AL$27</definedName>
    <definedName name="sch_health_ccam_g9">'[1]XII. Box 4 (Part 1)'!$AO$27</definedName>
    <definedName name="sch_health_coor_name">'Part IX. School Health'!$F$27</definedName>
    <definedName name="sch_health_coor_pos">'Part IX. School Health'!$G$31</definedName>
    <definedName name="sch_health_drrm_g10">'[1]XII. Box 4 (Part 1)'!$AF$27</definedName>
    <definedName name="sch_health_drrm_g7">'[1]XII. Box 4 (Part 1)'!$W$27</definedName>
    <definedName name="sch_health_drrm_g8">'[1]XII. Box 4 (Part 1)'!$Z$27</definedName>
    <definedName name="sch_health_drrm_g9">'[1]XII. Box 4 (Part 1)'!$AC$27</definedName>
    <definedName name="sch_health_learners_otm_dewormed_g1_f">'IX. Table 1.C &amp; 1.D'!$AF$12</definedName>
    <definedName name="sch_health_learners_otm_dewormed_g1_m">'IX. Table 1.C &amp; 1.D'!$AA$12</definedName>
    <definedName name="sch_health_learners_otm_dewormed_g10_f">'IX. Table 1.C &amp; 1.D'!$AF$24</definedName>
    <definedName name="sch_health_learners_otm_dewormed_g10_m">'IX. Table 1.C &amp; 1.D'!$AA$24</definedName>
    <definedName name="sch_health_learners_otm_dewormed_g11_f">'IX. Table 1.C &amp; 1.D'!$AF$27</definedName>
    <definedName name="sch_health_learners_otm_dewormed_g11_m">'IX. Table 1.C &amp; 1.D'!$AA$27</definedName>
    <definedName name="sch_health_learners_otm_dewormed_g12_f">'IX. Table 1.C &amp; 1.D'!$AF$28</definedName>
    <definedName name="sch_health_learners_otm_dewormed_g12_m">'IX. Table 1.C &amp; 1.D'!$AA$28</definedName>
    <definedName name="sch_health_learners_otm_dewormed_g2_f">'IX. Table 1.C &amp; 1.D'!$AF$13</definedName>
    <definedName name="sch_health_learners_otm_dewormed_g2_m">'IX. Table 1.C &amp; 1.D'!$AA$13</definedName>
    <definedName name="sch_health_learners_otm_dewormed_g3_f">'IX. Table 1.C &amp; 1.D'!$AF$14</definedName>
    <definedName name="sch_health_learners_otm_dewormed_g3_m">'IX. Table 1.C &amp; 1.D'!$AA$14</definedName>
    <definedName name="sch_health_learners_otm_dewormed_g4_f">'IX. Table 1.C &amp; 1.D'!$AF$15</definedName>
    <definedName name="sch_health_learners_otm_dewormed_g4_m">'IX. Table 1.C &amp; 1.D'!$AA$15</definedName>
    <definedName name="sch_health_learners_otm_dewormed_g5_f">'IX. Table 1.C &amp; 1.D'!$AF$16</definedName>
    <definedName name="sch_health_learners_otm_dewormed_g5_m">'IX. Table 1.C &amp; 1.D'!$AA$16</definedName>
    <definedName name="sch_health_learners_otm_dewormed_g6_f">'IX. Table 1.C &amp; 1.D'!$AF$17</definedName>
    <definedName name="sch_health_learners_otm_dewormed_g6_m">'IX. Table 1.C &amp; 1.D'!$AA$17</definedName>
    <definedName name="sch_health_learners_otm_dewormed_g7_f">'IX. Table 1.C &amp; 1.D'!$AF$21</definedName>
    <definedName name="sch_health_learners_otm_dewormed_g7_m">'IX. Table 1.C &amp; 1.D'!$AA$21</definedName>
    <definedName name="sch_health_learners_otm_dewormed_g8_f">'IX. Table 1.C &amp; 1.D'!$AF$22</definedName>
    <definedName name="sch_health_learners_otm_dewormed_g8_m">'IX. Table 1.C &amp; 1.D'!$AA$22</definedName>
    <definedName name="sch_health_learners_otm_dewormed_g9_f">'IX. Table 1.C &amp; 1.D'!$AF$23</definedName>
    <definedName name="sch_health_learners_otm_dewormed_g9_m">'IX. Table 1.C &amp; 1.D'!$AA$23</definedName>
    <definedName name="sch_health_learners_otm_dewormed_k_f">'IX. Table 1.C &amp; 1.D'!$AF$11</definedName>
    <definedName name="sch_health_learners_otm_dewormed_k_m">'IX. Table 1.C &amp; 1.D'!$AA$11</definedName>
    <definedName name="sch_health_learners_otm_dewormed_ng_f">'IX. Table 1.C &amp; 1.D'!$AF$18</definedName>
    <definedName name="sch_health_learners_otm_dewormed_ng_m">'IX. Table 1.C &amp; 1.D'!$AA$18</definedName>
    <definedName name="sch_health_learners_sbfp_dewormed_g1_f">'IX. Table 1.C &amp; 1.D'!$Q$12</definedName>
    <definedName name="sch_health_learners_sbfp_dewormed_g1_m">'IX. Table 1.C &amp; 1.D'!$L$12</definedName>
    <definedName name="sch_health_learners_sbfp_dewormed_g10_f">'IX. Table 1.C &amp; 1.D'!$Q$24</definedName>
    <definedName name="sch_health_learners_sbfp_dewormed_g10_m">'IX. Table 1.C &amp; 1.D'!$L$24</definedName>
    <definedName name="sch_health_learners_sbfp_dewormed_g11_f">'IX. Table 1.C &amp; 1.D'!$Q$27</definedName>
    <definedName name="sch_health_learners_sbfp_dewormed_g11_m">'IX. Table 1.C &amp; 1.D'!$L$27</definedName>
    <definedName name="sch_health_learners_sbfp_dewormed_g12_f">'IX. Table 1.C &amp; 1.D'!$Q$28</definedName>
    <definedName name="sch_health_learners_sbfp_dewormed_g12_m">'IX. Table 1.C &amp; 1.D'!$L$28</definedName>
    <definedName name="sch_health_learners_sbfp_dewormed_g2_f">'IX. Table 1.C &amp; 1.D'!$Q$13</definedName>
    <definedName name="sch_health_learners_sbfp_dewormed_g2_m">'IX. Table 1.C &amp; 1.D'!$L$13</definedName>
    <definedName name="sch_health_learners_sbfp_dewormed_g3_f">'IX. Table 1.C &amp; 1.D'!$Q$14</definedName>
    <definedName name="sch_health_learners_sbfp_dewormed_g3_m">'IX. Table 1.C &amp; 1.D'!$L$14</definedName>
    <definedName name="sch_health_learners_sbfp_dewormed_g4_f">'IX. Table 1.C &amp; 1.D'!$Q$15</definedName>
    <definedName name="sch_health_learners_sbfp_dewormed_g4_m">'IX. Table 1.C &amp; 1.D'!$L$15</definedName>
    <definedName name="sch_health_learners_sbfp_dewormed_g5_f">'IX. Table 1.C &amp; 1.D'!$Q$16</definedName>
    <definedName name="sch_health_learners_sbfp_dewormed_g5_m">'IX. Table 1.C &amp; 1.D'!$L$16</definedName>
    <definedName name="sch_health_learners_sbfp_dewormed_g6_f">'IX. Table 1.C &amp; 1.D'!$Q$17</definedName>
    <definedName name="sch_health_learners_sbfp_dewormed_g6_m">'IX. Table 1.C &amp; 1.D'!$L$17</definedName>
    <definedName name="sch_health_learners_sbfp_dewormed_g7_f">'IX. Table 1.C &amp; 1.D'!$Q$21</definedName>
    <definedName name="sch_health_learners_sbfp_dewormed_g7_m">'IX. Table 1.C &amp; 1.D'!$L$21</definedName>
    <definedName name="sch_health_learners_sbfp_dewormed_g8_f">'IX. Table 1.C &amp; 1.D'!$Q$22</definedName>
    <definedName name="sch_health_learners_sbfp_dewormed_g8_m">'IX. Table 1.C &amp; 1.D'!$L$22</definedName>
    <definedName name="sch_health_learners_sbfp_dewormed_g9_f">'IX. Table 1.C &amp; 1.D'!$Q$23</definedName>
    <definedName name="sch_health_learners_sbfp_dewormed_g9_m">'IX. Table 1.C &amp; 1.D'!$L$23</definedName>
    <definedName name="sch_health_learners_sbfp_dewormed_k_f">'IX. Table 1.C &amp; 1.D'!$Q$11</definedName>
    <definedName name="sch_health_learners_sbfp_dewormed_k_m">'IX. Table 1.C &amp; 1.D'!$L$11</definedName>
    <definedName name="sch_health_learners_sbfp_dewormed_ng_f">'IX. Table 1.C &amp; 1.D'!$Q$18</definedName>
    <definedName name="sch_health_learners_sbfp_dewormed_ng_m">'IX. Table 1.C &amp; 1.D'!$L$18</definedName>
    <definedName name="sch_health_nsw_normal_g1_f">'IX. Table 1.A &amp; 1.B'!$R$22</definedName>
    <definedName name="sch_health_nsw_normal_g1_m">'IX. Table 1.A &amp; 1.B'!$O$22</definedName>
    <definedName name="sch_health_nsw_normal_g10_f">'IX. Table 1.A &amp; 1.B'!$AD$33</definedName>
    <definedName name="sch_health_nsw_normal_g10_m">'IX. Table 1.A &amp; 1.B'!$AA$33</definedName>
    <definedName name="sch_health_nsw_normal_g11_f">'IX. Table 1.A &amp; 1.B'!$AP$33</definedName>
    <definedName name="sch_health_nsw_normal_g11_m">'IX. Table 1.A &amp; 1.B'!$AM$33</definedName>
    <definedName name="sch_health_nsw_normal_g12_f">'IX. Table 1.A &amp; 1.B'!$AV$33</definedName>
    <definedName name="sch_health_nsw_normal_g12_m">'IX. Table 1.A &amp; 1.B'!$AS$33</definedName>
    <definedName name="sch_health_nsw_normal_g2_f">'IX. Table 1.A &amp; 1.B'!$X$22</definedName>
    <definedName name="sch_health_nsw_normal_g2_m">'IX. Table 1.A &amp; 1.B'!$U$22</definedName>
    <definedName name="sch_health_nsw_normal_g3_f">'IX. Table 1.A &amp; 1.B'!$AD$22</definedName>
    <definedName name="sch_health_nsw_normal_g3_m">'IX. Table 1.A &amp; 1.B'!$AA$22</definedName>
    <definedName name="sch_health_nsw_normal_g4_f">'IX. Table 1.A &amp; 1.B'!$AJ$22</definedName>
    <definedName name="sch_health_nsw_normal_g4_m">'IX. Table 1.A &amp; 1.B'!$AG$22</definedName>
    <definedName name="sch_health_nsw_normal_g5_f">'IX. Table 1.A &amp; 1.B'!$AP$22</definedName>
    <definedName name="sch_health_nsw_normal_g5_m">'IX. Table 1.A &amp; 1.B'!$AM$22</definedName>
    <definedName name="sch_health_nsw_normal_g6_f">'IX. Table 1.A &amp; 1.B'!$AV$22</definedName>
    <definedName name="sch_health_nsw_normal_g6_m">'IX. Table 1.A &amp; 1.B'!$AS$22</definedName>
    <definedName name="sch_health_nsw_normal_g7_f">'IX. Table 1.A &amp; 1.B'!$L$33</definedName>
    <definedName name="sch_health_nsw_normal_g7_m">'IX. Table 1.A &amp; 1.B'!$I$33</definedName>
    <definedName name="sch_health_nsw_normal_g8_f">'IX. Table 1.A &amp; 1.B'!$R$33</definedName>
    <definedName name="sch_health_nsw_normal_g8_m">'IX. Table 1.A &amp; 1.B'!$O$33</definedName>
    <definedName name="sch_health_nsw_normal_g9_f">'IX. Table 1.A &amp; 1.B'!$X$33</definedName>
    <definedName name="sch_health_nsw_normal_g9_m">'IX. Table 1.A &amp; 1.B'!$U$33</definedName>
    <definedName name="sch_health_nsw_normal_k_f">'IX. Table 1.A &amp; 1.B'!$L$22</definedName>
    <definedName name="sch_health_nsw_normal_k_m">'IX. Table 1.A &amp; 1.B'!$I$22</definedName>
    <definedName name="sch_health_nsw_normal_ng_f">'IX. Table 1.A &amp; 1.B'!$BB$22</definedName>
    <definedName name="sch_health_nsw_normal_ng_m">'IX. Table 1.A &amp; 1.B'!$AY$22</definedName>
    <definedName name="sch_health_nsw_obese_g1_f">'IX. Table 1.A &amp; 1.B'!$R$23</definedName>
    <definedName name="sch_health_nsw_obese_g1_m">'IX. Table 1.A &amp; 1.B'!$O$23</definedName>
    <definedName name="sch_health_nsw_obese_g10_f">'IX. Table 1.A &amp; 1.B'!$AD$34</definedName>
    <definedName name="sch_health_nsw_obese_g10_m">'IX. Table 1.A &amp; 1.B'!$AA$34</definedName>
    <definedName name="sch_health_nsw_obese_g11_f">'IX. Table 1.A &amp; 1.B'!$AP$34</definedName>
    <definedName name="sch_health_nsw_obese_g11_m">'IX. Table 1.A &amp; 1.B'!$AM$34</definedName>
    <definedName name="sch_health_nsw_obese_g12_f">'IX. Table 1.A &amp; 1.B'!$AV$34</definedName>
    <definedName name="sch_health_nsw_obese_g12_m">'IX. Table 1.A &amp; 1.B'!$AS$34</definedName>
    <definedName name="sch_health_nsw_obese_g2_f">'IX. Table 1.A &amp; 1.B'!$X$23</definedName>
    <definedName name="sch_health_nsw_obese_g2_m">'IX. Table 1.A &amp; 1.B'!$U$23</definedName>
    <definedName name="sch_health_nsw_obese_g3_f">'IX. Table 1.A &amp; 1.B'!$AD$23</definedName>
    <definedName name="sch_health_nsw_obese_g3_m">'IX. Table 1.A &amp; 1.B'!$AA$23</definedName>
    <definedName name="sch_health_nsw_obese_g4_f">'IX. Table 1.A &amp; 1.B'!$AJ$23</definedName>
    <definedName name="sch_health_nsw_obese_g4_m">'IX. Table 1.A &amp; 1.B'!$AG$23</definedName>
    <definedName name="sch_health_nsw_obese_g5_f">'IX. Table 1.A &amp; 1.B'!$AP$23</definedName>
    <definedName name="sch_health_nsw_obese_g5_m">'IX. Table 1.A &amp; 1.B'!$AM$23</definedName>
    <definedName name="sch_health_nsw_obese_g6_f">'IX. Table 1.A &amp; 1.B'!$AV$23</definedName>
    <definedName name="sch_health_nsw_obese_g6_m">'IX. Table 1.A &amp; 1.B'!$AS$23</definedName>
    <definedName name="sch_health_nsw_obese_g7_f">'IX. Table 1.A &amp; 1.B'!$L$34</definedName>
    <definedName name="sch_health_nsw_obese_g7_m">'IX. Table 1.A &amp; 1.B'!$I$34</definedName>
    <definedName name="sch_health_nsw_obese_g8_f">'IX. Table 1.A &amp; 1.B'!$R$34</definedName>
    <definedName name="sch_health_nsw_obese_g8_m">'IX. Table 1.A &amp; 1.B'!$O$34</definedName>
    <definedName name="sch_health_nsw_obese_g9_f">'IX. Table 1.A &amp; 1.B'!$X$34</definedName>
    <definedName name="sch_health_nsw_obese_g9_m">'IX. Table 1.A &amp; 1.B'!$U$34</definedName>
    <definedName name="sch_health_nsw_obese_k_f">'IX. Table 1.A &amp; 1.B'!$L$23</definedName>
    <definedName name="sch_health_nsw_obese_k_m">'IX. Table 1.A &amp; 1.B'!$I$23</definedName>
    <definedName name="sch_health_nsw_obese_ng_f">'IX. Table 1.A &amp; 1.B'!$BB$23</definedName>
    <definedName name="sch_health_nsw_obese_ng_m">'IX. Table 1.A &amp; 1.B'!$AY$23</definedName>
    <definedName name="sch_health_nsw_overweight_g1_f">'IX. Table 1.A &amp; 1.B'!$R$24</definedName>
    <definedName name="sch_health_nsw_overweight_g1_m">'IX. Table 1.A &amp; 1.B'!$O$24</definedName>
    <definedName name="sch_health_nsw_overweight_g10_f">'IX. Table 1.A &amp; 1.B'!$AD$35</definedName>
    <definedName name="sch_health_nsw_overweight_g10_m">'IX. Table 1.A &amp; 1.B'!$AA$35</definedName>
    <definedName name="sch_health_nsw_overweight_g11_f">'IX. Table 1.A &amp; 1.B'!$AP$35</definedName>
    <definedName name="sch_health_nsw_overweight_g11_m">'IX. Table 1.A &amp; 1.B'!$AM$35</definedName>
    <definedName name="sch_health_nsw_overweight_g12_f">'IX. Table 1.A &amp; 1.B'!$AV$35</definedName>
    <definedName name="sch_health_nsw_overweight_g12_m">'IX. Table 1.A &amp; 1.B'!$AS$35</definedName>
    <definedName name="sch_health_nsw_overweight_g2_f">'IX. Table 1.A &amp; 1.B'!$X$24</definedName>
    <definedName name="sch_health_nsw_overweight_g2_m">'IX. Table 1.A &amp; 1.B'!$U$24</definedName>
    <definedName name="sch_health_nsw_overweight_g3_f">'IX. Table 1.A &amp; 1.B'!$AD$24</definedName>
    <definedName name="sch_health_nsw_overweight_g3_m">'IX. Table 1.A &amp; 1.B'!$AA$24</definedName>
    <definedName name="sch_health_nsw_overweight_g4_f">'IX. Table 1.A &amp; 1.B'!$AJ$24</definedName>
    <definedName name="sch_health_nsw_overweight_g4_m">'IX. Table 1.A &amp; 1.B'!$AG$24</definedName>
    <definedName name="sch_health_nsw_overweight_g5_f">'IX. Table 1.A &amp; 1.B'!$AP$24</definedName>
    <definedName name="sch_health_nsw_overweight_g5_m">'IX. Table 1.A &amp; 1.B'!$AM$24</definedName>
    <definedName name="sch_health_nsw_overweight_g6_f">'IX. Table 1.A &amp; 1.B'!$AV$24</definedName>
    <definedName name="sch_health_nsw_overweight_g6_m">'IX. Table 1.A &amp; 1.B'!$AS$24</definedName>
    <definedName name="sch_health_nsw_overweight_g7_f">'IX. Table 1.A &amp; 1.B'!$L$35</definedName>
    <definedName name="sch_health_nsw_overweight_g7_m">'IX. Table 1.A &amp; 1.B'!$I$35</definedName>
    <definedName name="sch_health_nsw_overweight_g8_f">'IX. Table 1.A &amp; 1.B'!$R$35</definedName>
    <definedName name="sch_health_nsw_overweight_g8_m">'IX. Table 1.A &amp; 1.B'!$O$35</definedName>
    <definedName name="sch_health_nsw_overweight_g9_f">'IX. Table 1.A &amp; 1.B'!$X$35</definedName>
    <definedName name="sch_health_nsw_overweight_g9_m">'IX. Table 1.A &amp; 1.B'!$U$35</definedName>
    <definedName name="sch_health_nsw_overweight_k_f">'IX. Table 1.A &amp; 1.B'!$L$24</definedName>
    <definedName name="sch_health_nsw_overweight_k_m">'IX. Table 1.A &amp; 1.B'!$I$24</definedName>
    <definedName name="sch_health_nsw_overweight_ng_f">'IX. Table 1.A &amp; 1.B'!$BB$24</definedName>
    <definedName name="sch_health_nsw_overweight_ng_m">'IX. Table 1.A &amp; 1.B'!$AY$24</definedName>
    <definedName name="sch_health_nsw_severelywasted_g1_f">'IX. Table 1.A &amp; 1.B'!$R$25</definedName>
    <definedName name="sch_health_nsw_severelywasted_g1_m">'IX. Table 1.A &amp; 1.B'!$O$25</definedName>
    <definedName name="sch_health_nsw_severelywasted_g10_f">'IX. Table 1.A &amp; 1.B'!$AD$36</definedName>
    <definedName name="sch_health_nsw_severelywasted_g10_m">'IX. Table 1.A &amp; 1.B'!$AA$36</definedName>
    <definedName name="sch_health_nsw_severelywasted_g11_f">'IX. Table 1.A &amp; 1.B'!$AP$36</definedName>
    <definedName name="sch_health_nsw_severelywasted_g11_m">'IX. Table 1.A &amp; 1.B'!$AM$36</definedName>
    <definedName name="sch_health_nsw_severelywasted_g12_f">'IX. Table 1.A &amp; 1.B'!$AV$36</definedName>
    <definedName name="sch_health_nsw_severelywasted_g12_m">'IX. Table 1.A &amp; 1.B'!$AS$36</definedName>
    <definedName name="sch_health_nsw_severelywasted_g2_f">'IX. Table 1.A &amp; 1.B'!$X$25</definedName>
    <definedName name="sch_health_nsw_severelywasted_g2_m">'IX. Table 1.A &amp; 1.B'!$U$25</definedName>
    <definedName name="sch_health_nsw_severelywasted_g3_f">'IX. Table 1.A &amp; 1.B'!$AD$25</definedName>
    <definedName name="sch_health_nsw_severelywasted_g3_m">'IX. Table 1.A &amp; 1.B'!$AA$25</definedName>
    <definedName name="sch_health_nsw_severelywasted_g4_f">'IX. Table 1.A &amp; 1.B'!$AJ$25</definedName>
    <definedName name="sch_health_nsw_severelywasted_g4_m">'IX. Table 1.A &amp; 1.B'!$AG$25</definedName>
    <definedName name="sch_health_nsw_severelywasted_g5_f">'IX. Table 1.A &amp; 1.B'!$AP$25</definedName>
    <definedName name="sch_health_nsw_severelywasted_g5_m">'IX. Table 1.A &amp; 1.B'!$AM$25</definedName>
    <definedName name="sch_health_nsw_severelywasted_g6_f">'IX. Table 1.A &amp; 1.B'!$AV$25</definedName>
    <definedName name="sch_health_nsw_severelywasted_g6_m">'IX. Table 1.A &amp; 1.B'!$AS$25</definedName>
    <definedName name="sch_health_nsw_severelywasted_g7_f">'IX. Table 1.A &amp; 1.B'!$L$36</definedName>
    <definedName name="sch_health_nsw_severelywasted_g7_m">'IX. Table 1.A &amp; 1.B'!$I$36</definedName>
    <definedName name="sch_health_nsw_severelywasted_g8_f">'IX. Table 1.A &amp; 1.B'!$R$36</definedName>
    <definedName name="sch_health_nsw_severelywasted_g8_m">'IX. Table 1.A &amp; 1.B'!$O$36</definedName>
    <definedName name="sch_health_nsw_severelywasted_g9_f">'IX. Table 1.A &amp; 1.B'!$X$36</definedName>
    <definedName name="sch_health_nsw_severelywasted_g9_m">'IX. Table 1.A &amp; 1.B'!$U$36</definedName>
    <definedName name="sch_health_nsw_severelywasted_k_f">'IX. Table 1.A &amp; 1.B'!$L$25</definedName>
    <definedName name="sch_health_nsw_severelywasted_k_m">'IX. Table 1.A &amp; 1.B'!$I$25</definedName>
    <definedName name="sch_health_nsw_severelywasted_ng_f">'IX. Table 1.A &amp; 1.B'!$BB$25</definedName>
    <definedName name="sch_health_nsw_severelywasted_ng_m">'IX. Table 1.A &amp; 1.B'!$AY$25</definedName>
    <definedName name="sch_health_nsw_wasted_g1_f">'IX. Table 1.A &amp; 1.B'!$R$26</definedName>
    <definedName name="sch_health_nsw_wasted_g1_m">'IX. Table 1.A &amp; 1.B'!$O$26</definedName>
    <definedName name="sch_health_nsw_wasted_g10_f">'IX. Table 1.A &amp; 1.B'!$AD$37</definedName>
    <definedName name="sch_health_nsw_wasted_g10_m">'IX. Table 1.A &amp; 1.B'!$AA$37</definedName>
    <definedName name="sch_health_nsw_wasted_g11_f">'IX. Table 1.A &amp; 1.B'!$AP$37</definedName>
    <definedName name="sch_health_nsw_wasted_g11_m">'IX. Table 1.A &amp; 1.B'!$AM$37</definedName>
    <definedName name="sch_health_nsw_wasted_g12_f">'IX. Table 1.A &amp; 1.B'!$AV$37</definedName>
    <definedName name="sch_health_nsw_wasted_g12_m">'IX. Table 1.A &amp; 1.B'!$AS$37</definedName>
    <definedName name="sch_health_nsw_wasted_g2_f">'IX. Table 1.A &amp; 1.B'!$X$26</definedName>
    <definedName name="sch_health_nsw_wasted_g2_m">'IX. Table 1.A &amp; 1.B'!$U$26</definedName>
    <definedName name="sch_health_nsw_wasted_g3_f">'IX. Table 1.A &amp; 1.B'!$AD$26</definedName>
    <definedName name="sch_health_nsw_wasted_g3_m">'IX. Table 1.A &amp; 1.B'!$AA$26</definedName>
    <definedName name="sch_health_nsw_wasted_g4_f">'IX. Table 1.A &amp; 1.B'!$AJ$26</definedName>
    <definedName name="sch_health_nsw_wasted_g4_m">'IX. Table 1.A &amp; 1.B'!$AG$26</definedName>
    <definedName name="sch_health_nsw_wasted_g5_f">'IX. Table 1.A &amp; 1.B'!$AP$26</definedName>
    <definedName name="sch_health_nsw_wasted_g5_m">'IX. Table 1.A &amp; 1.B'!$AM$26</definedName>
    <definedName name="sch_health_nsw_wasted_g6_f">'IX. Table 1.A &amp; 1.B'!$AV$26</definedName>
    <definedName name="sch_health_nsw_wasted_g6_m">'IX. Table 1.A &amp; 1.B'!$AS$26</definedName>
    <definedName name="sch_health_nsw_wasted_g7_f">'IX. Table 1.A &amp; 1.B'!$L$37</definedName>
    <definedName name="sch_health_nsw_wasted_g7_m">'IX. Table 1.A &amp; 1.B'!$I$37</definedName>
    <definedName name="sch_health_nsw_wasted_g8_f">'IX. Table 1.A &amp; 1.B'!$R$37</definedName>
    <definedName name="sch_health_nsw_wasted_g8_m">'IX. Table 1.A &amp; 1.B'!$O$37</definedName>
    <definedName name="sch_health_nsw_wasted_g9_f">'IX. Table 1.A &amp; 1.B'!$X$37</definedName>
    <definedName name="sch_health_nsw_wasted_g9_m">'IX. Table 1.A &amp; 1.B'!$U$37</definedName>
    <definedName name="sch_health_nsw_wasted_k_f">'IX. Table 1.A &amp; 1.B'!$L$26</definedName>
    <definedName name="sch_health_nsw_wasted_k_m">'IX. Table 1.A &amp; 1.B'!$I$26</definedName>
    <definedName name="sch_health_nsw_wasted_ng_f">'IX. Table 1.A &amp; 1.B'!$BB$26</definedName>
    <definedName name="sch_health_nsw_wasted_ng_m">'IX. Table 1.A &amp; 1.B'!$AY$26</definedName>
    <definedName name="sch_health_vacc_ip_and_nonip_hpv_g4_f">'IX. Table 1.A &amp; 1.B'!$AD$13</definedName>
    <definedName name="sch_health_vacc_ip_and_nonip_mcv_g1_f">'IX. Table 1.A &amp; 1.B'!$Q$11</definedName>
    <definedName name="sch_health_vacc_ip_and_nonip_mcv_g1_m">'IX. Table 1.A &amp; 1.B'!$L$11</definedName>
    <definedName name="sch_health_vacc_ip_and_nonip_mcv_g7_f">'IX. Table 1.A &amp; 1.B'!$AV$11</definedName>
    <definedName name="sch_health_vacc_ip_and_nonip_mcv_g7_m">'IX. Table 1.A &amp; 1.B'!$AQ$11</definedName>
    <definedName name="sch_health_vacc_ip_and_nonip_td_g1_f">'IX. Table 1.A &amp; 1.B'!$Q$12</definedName>
    <definedName name="sch_health_vacc_ip_and_nonip_td_g1_m">'IX. Table 1.A &amp; 1.B'!$L$12</definedName>
    <definedName name="sch_health_vacc_ip_and_nonip_td_g7_f">'IX. Table 1.A &amp; 1.B'!$AV$12</definedName>
    <definedName name="sch_health_vacc_ip_and_nonip_td_g7_m">'IX. Table 1.A &amp; 1.B'!$AQ$12</definedName>
    <definedName name="sch_health_vacc_ip_hpv_g4_f">'IX. Table 1.A &amp; 1.B'!$AK$13</definedName>
    <definedName name="sch_health_vacc_ip_mcv_g1_f">'IX. Table 1.A &amp; 1.B'!$Z$11</definedName>
    <definedName name="sch_health_vacc_ip_mcv_g1_m">'IX. Table 1.A &amp; 1.B'!$V$11</definedName>
    <definedName name="sch_health_vacc_ip_mcv_g7_f">'IX. Table 1.A &amp; 1.B'!$BE$11</definedName>
    <definedName name="sch_health_vacc_ip_mcv_g7_m">'IX. Table 1.A &amp; 1.B'!$BA$11</definedName>
    <definedName name="sch_health_vacc_ip_td_g1_f">'IX. Table 1.A &amp; 1.B'!$Z$12</definedName>
    <definedName name="sch_health_vacc_ip_td_g1_m">'IX. Table 1.A &amp; 1.B'!$V$12</definedName>
    <definedName name="sch_health_vacc_ip_td_g7_f">'IX. Table 1.A &amp; 1.B'!$BE$12</definedName>
    <definedName name="sch_health_vacc_ip_td_g7_m">'IX. Table 1.A &amp; 1.B'!$BA$12</definedName>
    <definedName name="sch_health_wifa_learners_given_jantomar_g10">'IX. Table 1.C &amp; 1.D'!$AF$37</definedName>
    <definedName name="sch_health_wifa_learners_given_jantomar_g7">'IX. Table 1.C &amp; 1.D'!$Q$37</definedName>
    <definedName name="sch_health_wifa_learners_given_jantomar_g8">'IX. Table 1.C &amp; 1.D'!$V$37</definedName>
    <definedName name="sch_health_wifa_learners_given_jantomar_g9">'IX. Table 1.C &amp; 1.D'!$AA$37</definedName>
    <definedName name="sch_health_wifa_learners_given_jultosep_g10">'IX. Table 1.C &amp; 1.D'!$AF$35</definedName>
    <definedName name="sch_health_wifa_learners_given_jultosep_g7">'IX. Table 1.C &amp; 1.D'!$Q$35</definedName>
    <definedName name="sch_health_wifa_learners_given_jultosep_g8">'IX. Table 1.C &amp; 1.D'!$V$35</definedName>
    <definedName name="sch_health_wifa_learners_given_jultosep_g9">'IX. Table 1.C &amp; 1.D'!$AA$35</definedName>
    <definedName name="sch_home_schooling">'[1]School Profile'!$C$33</definedName>
    <definedName name="sch_id">'[1]School Profile'!$AQ$2</definedName>
    <definedName name="sch_imple_strategy_adm_educcontinuity_disaster_nh">'[1]XII. Box 3 (Part 3)'!$D$32</definedName>
    <definedName name="sch_ip_communities_y">'[1]XIII. Box 1 (Part A)'!$AL$8</definedName>
    <definedName name="sch_ip_coordinator_yes">'[1]XIII. Box 1 (Part A)'!$AL$17</definedName>
    <definedName name="sch_ip_cultural_language_moi">'[1]XIII. Box 1 (Part A)'!$AL$27</definedName>
    <definedName name="sch_ip_dangerous_geo_chal_yes">'[1]XIII. Box 1 (Part A)'!$AL$20</definedName>
    <definedName name="sch_ip_gov_level_moi">'[1]XIII. Box 1 (Part A)'!$AL$30</definedName>
    <definedName name="sch_ip_implement_elem">'[1]XIII. Box 1 (Part A)'!$D$15</definedName>
    <definedName name="sch_ip_implement_jhs">'[1]XIII. Box 1 (Part A)'!$N$15</definedName>
    <definedName name="sch_ip_implement_shs">'[1]XIII. Box 1 (Part A)'!$X$15</definedName>
    <definedName name="sch_ip_located_ancestral_domain_affected_ac">'[1]XIII. Box 1 (Part A)'!$AL$48</definedName>
    <definedName name="sch_ip_teacher_reside_sch_muni_g1_f">'[1]XIII. Box 1 (Part B)'!$W$13</definedName>
    <definedName name="sch_ip_teacher_reside_sch_muni_g1_m">'[1]XIII. Box 1 (Part B)'!$T$13</definedName>
    <definedName name="sch_ip_teacher_reside_sch_muni_g2_f">'[1]XIII. Box 1 (Part B)'!$AC$13</definedName>
    <definedName name="sch_ip_teacher_reside_sch_muni_g2_m">'[1]XIII. Box 1 (Part B)'!$Z$13</definedName>
    <definedName name="sch_ip_teacher_reside_sch_muni_g3_f">'[1]XIII. Box 1 (Part B)'!$AI$13</definedName>
    <definedName name="sch_ip_teacher_reside_sch_muni_g3_m">'[1]XIII. Box 1 (Part B)'!$AF$13</definedName>
    <definedName name="sch_ip_teacher_reside_sch_muni_g4_f">'[1]XIII. Box 1 (Part B)'!$AO$13</definedName>
    <definedName name="sch_ip_teacher_reside_sch_muni_g4_m">'[1]XIII. Box 1 (Part B)'!$AL$13</definedName>
    <definedName name="sch_ip_teacher_reside_sch_muni_g5_f">'[1]XIII. Box 1 (Part B)'!$AU$13</definedName>
    <definedName name="sch_ip_teacher_reside_sch_muni_g5_m">'[1]XIII. Box 1 (Part B)'!$AR$13</definedName>
    <definedName name="sch_ip_teacher_reside_sch_muni_g6_f">'[1]XIII. Box 1 (Part B)'!$BA$13</definedName>
    <definedName name="sch_ip_teacher_reside_sch_muni_g6_m">'[1]XIII. Box 1 (Part B)'!$AX$13</definedName>
    <definedName name="sch_ip_teacher_reside_sch_muni_k_f">'[1]XIII. Box 1 (Part B)'!$Q$13</definedName>
    <definedName name="sch_ip_teacher_reside_sch_muni_k_m">'[1]XIII. Box 1 (Part B)'!$N$13</definedName>
    <definedName name="sch_ip_teacher_speak_cultural_lang_comm_g1_f">'[1]XIII. Box 1 (Part B)'!$W$21</definedName>
    <definedName name="sch_ip_teacher_speak_cultural_lang_comm_g1_m">'[1]XIII. Box 1 (Part B)'!$T$21</definedName>
    <definedName name="sch_ip_teacher_speak_cultural_lang_comm_g2_f">'[1]XIII. Box 1 (Part B)'!$AC$21</definedName>
    <definedName name="sch_ip_teacher_speak_cultural_lang_comm_g2_m">'[1]XIII. Box 1 (Part B)'!$Z$21</definedName>
    <definedName name="sch_ip_teacher_speak_cultural_lang_comm_g3_f">'[1]XIII. Box 1 (Part B)'!$AI$21</definedName>
    <definedName name="sch_ip_teacher_speak_cultural_lang_comm_g3_m">'[1]XIII. Box 1 (Part B)'!$AF$21</definedName>
    <definedName name="sch_ip_teacher_speak_cultural_lang_comm_g4_f">'[1]XIII. Box 1 (Part B)'!$AO$21</definedName>
    <definedName name="sch_ip_teacher_speak_cultural_lang_comm_g4_m">'[1]XIII. Box 1 (Part B)'!$AL$21</definedName>
    <definedName name="sch_ip_teacher_speak_cultural_lang_comm_g5_f">'[1]XIII. Box 1 (Part B)'!$AU$21</definedName>
    <definedName name="sch_ip_teacher_speak_cultural_lang_comm_g5_m">'[1]XIII. Box 1 (Part B)'!$AR$21</definedName>
    <definedName name="sch_ip_teacher_speak_cultural_lang_comm_g6_f">'[1]XIII. Box 1 (Part B)'!$BA$21</definedName>
    <definedName name="sch_ip_teacher_speak_cultural_lang_comm_g6_m">'[1]XIII. Box 1 (Part B)'!$AX$21</definedName>
    <definedName name="sch_ip_teacher_speak_cultural_lang_comm_k_f">'[1]XIII. Box 1 (Part B)'!$Q$21</definedName>
    <definedName name="sch_ip_teacher_speak_cultural_lang_comm_k_m">'[1]XIII. Box 1 (Part B)'!$N$21</definedName>
    <definedName name="sch_is_elem">'[1]School Profile'!$AB$32</definedName>
    <definedName name="sch_is_elem_no">'[1]School Profile'!$AF$32</definedName>
    <definedName name="sch_is_jhs">'[1]School Profile'!$AB$33</definedName>
    <definedName name="sch_is_jhs_no">'[1]School Profile'!$AF$33</definedName>
    <definedName name="sch_is_shs">'[1]School Profile'!$AB$34</definedName>
    <definedName name="sch_is_shs_no">'[1]School Profile'!$AF$34</definedName>
    <definedName name="sch_iu">'[1]School Profile'!$Q$38</definedName>
    <definedName name="sch_learners_pregnant_adm_g10">'IX. Boxes 5 &amp; 6'!$AK$11</definedName>
    <definedName name="sch_learners_pregnant_adm_g7">'IX. Boxes 5 &amp; 6'!$AB$11</definedName>
    <definedName name="sch_learners_pregnant_adm_g8">'IX. Boxes 5 &amp; 6'!$AE$11</definedName>
    <definedName name="sch_learners_pregnant_adm_g9">'IX. Boxes 5 &amp; 6'!$AH$11</definedName>
    <definedName name="sch_learners_pregnant_inschool_g10">'IX. Boxes 5 &amp; 6'!$AK$10</definedName>
    <definedName name="sch_learners_pregnant_inschool_g7">'IX. Boxes 5 &amp; 6'!$AB$10</definedName>
    <definedName name="sch_learners_pregnant_inschool_g8">'IX. Boxes 5 &amp; 6'!$AE$10</definedName>
    <definedName name="sch_learners_pregnant_inschool_g9">'IX. Boxes 5 &amp; 6'!$AH$10</definedName>
    <definedName name="sch_leg_dist">'[1]School Profile'!$AH$24</definedName>
    <definedName name="sch_lgp_climate_conducted">'[1]V. Box 1'!$T$80</definedName>
    <definedName name="sch_lgp_climate_lgu_chk">'[1]V. Box 1'!$AF$80</definedName>
    <definedName name="sch_lgp_climate_mooe_chk">'[1]V. Box 1'!$AB$80</definedName>
    <definedName name="sch_lgp_climate_other_govt_agency_chk">'[1]V. Box 1'!$AN$80</definedName>
    <definedName name="sch_lgp_climate_pta_private_chk">'[1]V. Box 1'!$AJ$80</definedName>
    <definedName name="sch_lgp_climate_total">'[1]V. Box 1'!$X$80</definedName>
    <definedName name="sch_lgp_comea_yes">'[1]V. Box 1'!$AO$11</definedName>
    <definedName name="sch_lgp_cpp_conducted">'[1]V. Box 1'!$T$74</definedName>
    <definedName name="sch_lgp_cpp_lgu_chk">'[1]V. Box 1'!$AF$74</definedName>
    <definedName name="sch_lgp_cpp_mooe_chk">'[1]V. Box 1'!$AB$74</definedName>
    <definedName name="sch_lgp_cpp_other_govt_agency_chk">'[1]V. Box 1'!$AN$74</definedName>
    <definedName name="sch_lgp_cpp_pta_private_chk">'[1]V. Box 1'!$AJ$74</definedName>
    <definedName name="sch_lgp_cpp_total">'[1]V. Box 1'!$X$74</definedName>
    <definedName name="sch_lgp_cse_conducted">'[1]V. Box 1'!$T$75</definedName>
    <definedName name="sch_lgp_cse_lgu_chk">'[1]V. Box 1'!$AF$75</definedName>
    <definedName name="sch_lgp_cse_mooe_chk">'[1]V. Box 1'!$AB$75</definedName>
    <definedName name="sch_lgp_cse_other_govt_agency_chk">'[1]V. Box 1'!$AN$75</definedName>
    <definedName name="sch_lgp_cse_pta_private_chk">'[1]V. Box 1'!$AJ$75</definedName>
    <definedName name="sch_lgp_cse_total">'[1]V. Box 1'!$X$75</definedName>
    <definedName name="sch_lgp_culture_conducted">'[1]V. Box 1'!$T$83</definedName>
    <definedName name="sch_lgp_culture_lgu_chk">'[1]V. Box 1'!$AF$83</definedName>
    <definedName name="sch_lgp_culture_mooe_chk">'[1]V. Box 1'!$AB$83</definedName>
    <definedName name="sch_lgp_culture_other_govt_agency_chk">'[1]V. Box 1'!$AN$83</definedName>
    <definedName name="sch_lgp_culture_pta_private_chk">'[1]V. Box 1'!$AJ$83</definedName>
    <definedName name="sch_lgp_culture_total">'[1]V. Box 1'!$X$83</definedName>
    <definedName name="sch_lgp_dtap_conducted">'[1]V. Box 1'!$T$78</definedName>
    <definedName name="sch_lgp_dtap_lgu_chk">'[1]V. Box 1'!$AF$78</definedName>
    <definedName name="sch_lgp_dtap_mooe_chk">'[1]V. Box 1'!$AB$78</definedName>
    <definedName name="sch_lgp_dtap_other_govt_agency_chk">'[1]V. Box 1'!$AN$78</definedName>
    <definedName name="sch_lgp_dtap_pta_private_chk">'[1]V. Box 1'!$AJ$78</definedName>
    <definedName name="sch_lgp_dtap_total">'[1]V. Box 1'!$X$78</definedName>
    <definedName name="sch_lgp_entrepreneur_conducted">'[1]V. Box 1'!$T$81</definedName>
    <definedName name="sch_lgp_entrepreneur_lgu_chk">'[1]V. Box 1'!$AF$81</definedName>
    <definedName name="sch_lgp_entrepreneur_mooe_chk">'[1]V. Box 1'!$AB$81</definedName>
    <definedName name="sch_lgp_entrepreneur_other_govt_agency_chk">'[1]V. Box 1'!$AN$81</definedName>
    <definedName name="sch_lgp_entrepreneur_pta_private_chk">'[1]V. Box 1'!$AJ$81</definedName>
    <definedName name="sch_lgp_entrepreneur_total">'[1]V. Box 1'!$X$81</definedName>
    <definedName name="sch_lgp_health_conducted">'[1]V. Box 1'!$T$77</definedName>
    <definedName name="sch_lgp_health_lgu_chk">'[1]V. Box 1'!$AF$77</definedName>
    <definedName name="sch_lgp_health_mooe_chk">'[1]V. Box 1'!$AB$77</definedName>
    <definedName name="sch_lgp_health_other_govt_agency_chk">'[1]V. Box 1'!$AN$77</definedName>
    <definedName name="sch_lgp_health_pta_private_chk">'[1]V. Box 1'!$AJ$77</definedName>
    <definedName name="sch_lgp_health_total">'[1]V. Box 1'!$X$77</definedName>
    <definedName name="sch_lgp_inclusivity_conducted">'[1]V. Box 1'!$T$79</definedName>
    <definedName name="sch_lgp_inclusivity_lgu_chk">'[1]V. Box 1'!$AF$79</definedName>
    <definedName name="sch_lgp_inclusivity_mooe_chk">'[1]V. Box 1'!$AB$79</definedName>
    <definedName name="sch_lgp_inclusivity_other_govt_agency_chk">'[1]V. Box 1'!$AN$79</definedName>
    <definedName name="sch_lgp_inclusivity_pta_private_chk">'[1]V. Box 1'!$AJ$79</definedName>
    <definedName name="sch_lgp_inclusivity_total">'[1]V. Box 1'!$X$79</definedName>
    <definedName name="sch_lgp_learner_selg_ip_f">'[1]V. Box 1'!$P$26</definedName>
    <definedName name="sch_lgp_learner_selg_ip_m">'[1]V. Box 1'!$M$26</definedName>
    <definedName name="sch_lgp_learner_selg_lwd_f">'[1]V. Box 1'!$P$25</definedName>
    <definedName name="sch_lgp_learner_selg_lwd_m">'[1]V. Box 1'!$M$25</definedName>
    <definedName name="sch_lgp_learner_selg_muslim_f">'[1]V. Box 1'!$P$27</definedName>
    <definedName name="sch_lgp_learner_selg_muslim_m">'[1]V. Box 1'!$M$27</definedName>
    <definedName name="sch_lgp_learner_sslg_ip_f">'[1]V. Box 1'!$Y$26</definedName>
    <definedName name="sch_lgp_learner_sslg_ip_m">'[1]V. Box 1'!$V$26</definedName>
    <definedName name="sch_lgp_learner_sslg_lwd_f">'[1]V. Box 1'!$Y$25</definedName>
    <definedName name="sch_lgp_learner_sslg_lwd_m">'[1]V. Box 1'!$V$25</definedName>
    <definedName name="sch_lgp_learner_sslg_muslim_f">'[1]V. Box 1'!$Y$27</definedName>
    <definedName name="sch_lgp_learner_sslg_muslim_m">'[1]V. Box 1'!$V$27</definedName>
    <definedName name="sch_lgp_num_learner_selg_f">'[1]V. Box 1'!$S$17</definedName>
    <definedName name="sch_lgp_num_learner_selg_m">'[1]V. Box 1'!$M$17</definedName>
    <definedName name="sch_lgp_num_learner_sslg_f">'[1]V. Box 1'!$S$18</definedName>
    <definedName name="sch_lgp_num_learner_sslg_m">'[1]V. Box 1'!$M$18</definedName>
    <definedName name="sch_lgp_others_conducted">'[1]V. Box 1'!$T$84</definedName>
    <definedName name="sch_lgp_others_lgu_chk">'[1]V. Box 1'!$AF$84</definedName>
    <definedName name="sch_lgp_others_mooe_chk">'[1]V. Box 1'!$AB$84</definedName>
    <definedName name="sch_lgp_others_other_govt_agency_chk">'[1]V. Box 1'!$AN$84</definedName>
    <definedName name="sch_lgp_others_pta_private_chk">'[1]V. Box 1'!$AJ$84</definedName>
    <definedName name="sch_lgp_others_total">'[1]V. Box 1'!$X$84</definedName>
    <definedName name="sch_lgp_readiness_conducted">'[1]V. Box 1'!$T$82</definedName>
    <definedName name="sch_lgp_readiness_lgu_chk">'[1]V. Box 1'!$AF$82</definedName>
    <definedName name="sch_lgp_readiness_mooe_chk">'[1]V. Box 1'!$AB$82</definedName>
    <definedName name="sch_lgp_readiness_other_govt_agency_chk">'[1]V. Box 1'!$AN$82</definedName>
    <definedName name="sch_lgp_readiness_pta_private_chk">'[1]V. Box 1'!$AJ$82</definedName>
    <definedName name="sch_lgp_readiness_total">'[1]V. Box 1'!$X$82</definedName>
    <definedName name="sch_lgp_selg_0to3yrs">'[1]V. Box 1'!$J$36</definedName>
    <definedName name="sch_lgp_selg_10yrsabove">'[1]V. Box 1'!$J$39</definedName>
    <definedName name="sch_lgp_selg_4to6yrs">'[1]V. Box 1'!$J$37</definedName>
    <definedName name="sch_lgp_selg_7to9yrs">'[1]V. Box 1'!$J$38</definedName>
    <definedName name="sch_lgp_selg_activities_yes">'[1]V. Box 1'!$AO$67</definedName>
    <definedName name="sch_lgp_selg_childpc_yes">'[1]V. Box 1'!$AO$51</definedName>
    <definedName name="sch_lgp_selg_mooe_1to2">'[1]V. Box 1'!$P$62</definedName>
    <definedName name="sch_lgp_selg_mooe_3to5">'[1]V. Box 1'!$V$62</definedName>
    <definedName name="sch_lgp_selg_mooe_less1">'[1]V. Box 1'!$J$62</definedName>
    <definedName name="sch_lgp_selg_mooe_morethan5">'[1]V. Box 1'!$AB$62</definedName>
    <definedName name="sch_lgp_selg_schoolgc_yes">'[1]V. Box 1'!$AO$53</definedName>
    <definedName name="sch_lgp_selg_sip_aip_yes">'[1]V. Box 1'!$AO$56</definedName>
    <definedName name="sch_lgp_selg_utilize_yes">'[1]V. Box 1'!$AO$65</definedName>
    <definedName name="sch_lgp_selg_youth_fc_yes">'[1]V. Box 1'!$AO$86</definedName>
    <definedName name="sch_lgp_selgcouncil_election_yes">'[1]V. Box 1'!$AO$9</definedName>
    <definedName name="sch_lgp_selgcouncil_yes">'[1]V. Box 1'!$AO$7</definedName>
    <definedName name="sch_lgp_selgteacher_reduced_yes">'[1]V. Box 1'!$AO$41</definedName>
    <definedName name="sch_lgp_selgteacher_responsibilities_yes">'[1]V. Box 1'!$AO$49</definedName>
    <definedName name="sch_lgp_selgteacher_sdo_yes">'[1]V. Box 1'!$AO$46</definedName>
    <definedName name="sch_lgp_selgteacher_training_yes">'[1]V. Box 1'!$AO$43</definedName>
    <definedName name="sch_lgp_selgteacher_yes">'[1]V. Box 1'!$AO$30</definedName>
    <definedName name="sch_lgp_sslg_0to3yrs">'[1]V. Box 1'!$P$36</definedName>
    <definedName name="sch_lgp_sslg_10yrsabove">'[1]V. Box 1'!$P$39</definedName>
    <definedName name="sch_lgp_sslg_4to6yrs">'[1]V. Box 1'!$P$37</definedName>
    <definedName name="sch_lgp_sslg_7to9yrs">'[1]V. Box 1'!$P$38</definedName>
    <definedName name="sch_lgp_sslg_mooe_1to2">'[1]V. Box 1'!$P$63</definedName>
    <definedName name="sch_lgp_sslg_mooe_3to5">'[1]V. Box 1'!$V$63</definedName>
    <definedName name="sch_lgp_sslg_mooe_less1">'[1]V. Box 1'!$J$63</definedName>
    <definedName name="sch_lgp_sslg_mooe_morethan5">'[1]V. Box 1'!$AB$63</definedName>
    <definedName name="sch_maintain_regular_repair_instruct_noninstruct_spaces">'[1]XII. Box 2'!$D$46</definedName>
    <definedName name="sch_mental_guidancelcoun_numlearner_shs_f1">'IX. Box 4'!$S$16</definedName>
    <definedName name="sch_mental_guidancelcoun_numlearner_shs_m1">'IX. Box 4'!$M$16</definedName>
    <definedName name="sch_mental_guidancelcoun_numlearner_shs_total">'IX. Box 4'!$Y$16</definedName>
    <definedName name="sch_mental_health_attempted_outside_learners">'IX. Boxes 2 &amp; 3; Table 2'!$X$62</definedName>
    <definedName name="sch_mental_health_attempted_outside_personnel">'IX. Boxes 2 &amp; 3; Table 2'!$AC$62</definedName>
    <definedName name="sch_mental_health_attempted_within_learners">'IX. Boxes 2 &amp; 3; Table 2'!$X$60</definedName>
    <definedName name="sch_mental_health_attempted_within_personnel">'IX. Boxes 2 &amp; 3; Table 2'!$AC$60</definedName>
    <definedName name="sch_mental_health_death_outside_learners">'IX. Boxes 2 &amp; 3; Table 2'!$X$58</definedName>
    <definedName name="sch_mental_health_death_outside_personnel">'IX. Boxes 2 &amp; 3; Table 2'!$AC$58</definedName>
    <definedName name="sch_mental_health_death_within_learners">'IX. Boxes 2 &amp; 3; Table 2'!$X$56</definedName>
    <definedName name="sch_mental_health_death_within_personnel">'IX. Boxes 2 &amp; 3; Table 2'!$AC$56</definedName>
    <definedName name="sch_mh_attempt_suicide_learners_outside_2024">'IX. Boxes 2 &amp; 3; Table 2'!$AH$62</definedName>
    <definedName name="sch_mh_attempt_suicide_learners_within_2024">'IX. Boxes 2 &amp; 3; Table 2'!$AH$60</definedName>
    <definedName name="sch_mh_attempt_suicide_sch_personnel_outside_2024">'IX. Boxes 2 &amp; 3; Table 2'!$AM$62</definedName>
    <definedName name="sch_mh_attempt_suicide_sch_personnel_within_2024">'IX. Boxes 2 &amp; 3; Table 2'!$AM$60</definedName>
    <definedName name="sch_mh_counseling_vulnerable_ip_es">'IX. Box 4'!$S$25</definedName>
    <definedName name="sch_mh_counseling_vulnerable_ip_jhs">'IX. Box 4'!$S$27</definedName>
    <definedName name="sch_mh_counseling_vulnerable_ip_shs">'IX. Box 4'!$S$29</definedName>
    <definedName name="sch_mh_counseling_vulnerable_lwd_es">'IX. Box 4'!$Y$25</definedName>
    <definedName name="sch_mh_counseling_vulnerable_lwd_jhs">'IX. Box 4'!$Y$27</definedName>
    <definedName name="sch_mh_counseling_vulnerable_lwd_shs">'IX. Box 4'!$Y$29</definedName>
    <definedName name="sch_mh_counseling_vulnerable_muslim_es">'IX. Box 4'!$M$25</definedName>
    <definedName name="sch_mh_counseling_vulnerable_muslim_jhs">'IX. Box 4'!$M$27</definedName>
    <definedName name="sch_mh_counseling_vulnerable_muslim_shs">'IX. Box 4'!$M$29</definedName>
    <definedName name="sch_mh_learners_sought_counseling_jhs_f1">'IX. Box 4'!$S$14</definedName>
    <definedName name="sch_mh_learners_sought_counseling_jhs_m1">'IX. Box 4'!$M$14</definedName>
    <definedName name="sch_mh_learners_sought_counseling_jhs_total">'IX. Box 4'!$Y$14</definedName>
    <definedName name="sch_mh_suicide_learners_outside_2024">'IX. Boxes 2 &amp; 3; Table 2'!$AH$58</definedName>
    <definedName name="sch_mh_suicide_learners_within_2024">'IX. Boxes 2 &amp; 3; Table 2'!$AH$56</definedName>
    <definedName name="sch_mh_suicide_sch_personnel_outside_2024">'IX. Boxes 2 &amp; 3; Table 2'!$AM$58</definedName>
    <definedName name="sch_mh_suicide_sch_personnel_within_2024">'IX. Boxes 2 &amp; 3; Table 2'!$AM$56</definedName>
    <definedName name="sch_mh_teachers_trainings_apb_jhs">'IX. Box 4'!$M$46</definedName>
    <definedName name="sch_mh_teachers_trainings_bullying_jhs">'IX. Box 4'!$M$46</definedName>
    <definedName name="sch_mh_teachers_trainings_depression_jhs">'IX. Box 4'!$S$46</definedName>
    <definedName name="sch_mh_teachers_trainings_mhcrmangement_jhs">'IX. Box 4'!$AQ$46</definedName>
    <definedName name="sch_mh_teachers_trainings_psychological_jhs">'IX. Box 4'!$AK$46</definedName>
    <definedName name="sch_mh_teachers_trainings_selfcare_jhs">'IX. Box 4'!$AE$46</definedName>
    <definedName name="sch_mh_teachers_trainings_suicideprevention_jhs">'IX. Box 4'!$Y$46</definedName>
    <definedName name="sch_mob_no">'[1]School Profile'!$AH$26</definedName>
    <definedName name="sch_name">'[1]School Profile'!$G$21</definedName>
    <definedName name="sch_natpdruged_compart_curriculumin">'IX. Boxes 7 to 9'!$Z$9</definedName>
    <definedName name="sch_natpdruged_compart_extrcurriact">'IX. Boxes 7 to 9'!$Z$10</definedName>
    <definedName name="sch_natpdruged_compart_partnwbadac">'IX. Boxes 7 to 9'!$Z$11</definedName>
    <definedName name="sch_natpdruged_implement_yes">'IX. Boxes 7 to 9'!$Z$6</definedName>
    <definedName name="sch_night_cl">'[1]School Profile'!$AO$38</definedName>
    <definedName name="sch_nonstruct_hazard_measure_ns_slopeprotect">'[1]XII. Box 2'!$J$36</definedName>
    <definedName name="sch_nonstruct_hazard_measure_others">'[1]XII. Box 2'!$X$38</definedName>
    <definedName name="sch_nonstruct_hazard_measure_others_specify">'[1]XII. Box 2'!$AE$38</definedName>
    <definedName name="sch_nonstruct_hazard_measure_porlandscaping">'[1]XII. Box 2'!$J$40</definedName>
    <definedName name="sch_nonstruct_hazard_measure_pruning">'[1]XII. Box 2'!$X$36</definedName>
    <definedName name="sch_nonstruct_hazard_measure_vegetation">'[1]XII. Box 2'!$J$38</definedName>
    <definedName name="sch_nosmoking_postsch_chkgate_yes">'IX. Boxes 5 &amp; 6'!$AS$28</definedName>
    <definedName name="sch_nosmoking_sign_yes">'IX. Boxes 5 &amp; 6'!$AS$27</definedName>
    <definedName name="sch_num_adaptive_devices_ad_aet_funct">'[1]III. Table 1'!$X$70</definedName>
    <definedName name="sch_num_adaptive_devices_ad_aet_funct_jhs">'[1]III. Table 1'!$AC$70</definedName>
    <definedName name="sch_num_adaptive_devices_ad_aet_funct_shs">'[1]III. Table 1'!$AH$70</definedName>
    <definedName name="sch_num_adaptive_devices_ad_akt_funct">'[1]III. Table 1'!$X$69</definedName>
    <definedName name="sch_num_adaptive_devices_ad_akt_funct_jhs">'[1]III. Table 1'!$AC$69</definedName>
    <definedName name="sch_num_adaptive_devices_ad_akt_funct_shs">'[1]III. Table 1'!$AH$69</definedName>
    <definedName name="sch_num_adaptive_devices_ad_apg_funct">'[1]III. Table 1'!$X$71</definedName>
    <definedName name="sch_num_adaptive_devices_ad_apg_funct_jhs">'[1]III. Table 1'!$AC$71</definedName>
    <definedName name="sch_num_adaptive_devices_ad_apg_funct_shs">'[1]III. Table 1'!$AH$71</definedName>
    <definedName name="sch_num_adaptive_devices_ad_uth_funct">'[1]III. Table 1'!$X$72</definedName>
    <definedName name="sch_num_adaptive_devices_ad_uth_funct_jhs">'[1]III. Table 1'!$AC$72</definedName>
    <definedName name="sch_num_adaptive_devices_ad_uth_funct_shs">'[1]III. Table 1'!$AH$72</definedName>
    <definedName name="sch_num_assistive_devices_atd_aacs_funct">'[1]III. Table 1'!$X$33</definedName>
    <definedName name="sch_num_assistive_devices_atd_aacs_funct_jhs">'[1]III. Table 1'!$AC$33</definedName>
    <definedName name="sch_num_assistive_devices_atd_aacs_funct_shs">'[1]III. Table 1'!$AH$33</definedName>
    <definedName name="sch_num_assistive_devices_atd_adhd_ns_funct">'[1]III. Table 1'!$X$58</definedName>
    <definedName name="sch_num_assistive_devices_atd_adhd_ns_funct_jhs">'[1]III. Table 1'!$AC$58</definedName>
    <definedName name="sch_num_assistive_devices_atd_adhd_ns_funct_shs">'[1]III. Table 1'!$AH$58</definedName>
    <definedName name="sch_num_assistive_devices_atd_agtc_funct">'[1]III. Table 1'!$X$10</definedName>
    <definedName name="sch_num_assistive_devices_atd_agtc_funct_jhs">'[1]III. Table 1'!$AC$10</definedName>
    <definedName name="sch_num_assistive_devices_atd_agtc_funct_shs">'[1]III. Table 1'!$AH$10</definedName>
    <definedName name="sch_num_assistive_devices_atd_apt_funct">'[1]III. Table 1'!$X$39</definedName>
    <definedName name="sch_num_assistive_devices_atd_apt_funct_jhs">'[1]III. Table 1'!$AC$39</definedName>
    <definedName name="sch_num_assistive_devices_atd_apt_funct_shs">'[1]III. Table 1'!$AH$39</definedName>
    <definedName name="sch_num_assistive_devices_atd_beds_funct">'[1]III. Table 1'!$X$11</definedName>
    <definedName name="sch_num_assistive_devices_atd_beds_funct_jhs">'[1]III. Table 1'!$AC$11</definedName>
    <definedName name="sch_num_assistive_devices_atd_beds_funct_shs">'[1]III. Table 1'!$AH$11</definedName>
    <definedName name="sch_num_assistive_devices_atd_bha_funct">'[1]III. Table 1'!$X$23</definedName>
    <definedName name="sch_num_assistive_devices_atd_bha_funct_jhs">'[1]III. Table 1'!$AC$23</definedName>
    <definedName name="sch_num_assistive_devices_atd_bha_funct_shs">'[1]III. Table 1'!$AH$23</definedName>
    <definedName name="sch_num_assistive_devices_atd_bkk_funct">'[1]III. Table 1'!$X$50</definedName>
    <definedName name="sch_num_assistive_devices_atd_bkk_funct_jhs">'[1]III. Table 1'!$AC$50</definedName>
    <definedName name="sch_num_assistive_devices_atd_bkk_funct_shs">'[1]III. Table 1'!$AH$50</definedName>
    <definedName name="sch_num_assistive_devices_atd_bm_funct">'[1]III. Table 1'!$X$12</definedName>
    <definedName name="sch_num_assistive_devices_atd_bm_funct_jhs">'[1]III. Table 1'!$AC$12</definedName>
    <definedName name="sch_num_assistive_devices_atd_bm_funct_shs">'[1]III. Table 1'!$AH$12</definedName>
    <definedName name="sch_num_assistive_devices_atd_bpe_funct">'[1]III. Table 1'!$X$13</definedName>
    <definedName name="sch_num_assistive_devices_atd_bpe_funct_jhs">'[1]III. Table 1'!$AC$13</definedName>
    <definedName name="sch_num_assistive_devices_atd_bpe_funct_shs">'[1]III. Table 1'!$AH$13</definedName>
    <definedName name="sch_num_assistive_devices_atd_bts_funct">'[1]III. Table 1'!$X$14</definedName>
    <definedName name="sch_num_assistive_devices_atd_bts_funct_jhs">'[1]III. Table 1'!$AC$14</definedName>
    <definedName name="sch_num_assistive_devices_atd_bts_funct_shs">'[1]III. Table 1'!$AH$14</definedName>
    <definedName name="sch_num_assistive_devices_atd_bwfla_funct">'[1]III. Table 1'!$X$24</definedName>
    <definedName name="sch_num_assistive_devices_atd_bwfla_funct_jhs">'[1]III. Table 1'!$AC$24</definedName>
    <definedName name="sch_num_assistive_devices_atd_bwfla_funct_shs">'[1]III. Table 1'!$AH$24</definedName>
    <definedName name="sch_num_assistive_devices_atd_canes_funct">'[1]III. Table 1'!$X$40</definedName>
    <definedName name="sch_num_assistive_devices_atd_canes_funct_jhs">'[1]III. Table 1'!$AC$40</definedName>
    <definedName name="sch_num_assistive_devices_atd_canes_funct_shs">'[1]III. Table 1'!$AH$40</definedName>
    <definedName name="sch_num_assistive_devices_atd_commb_funct">'[1]III. Table 1'!$X$34</definedName>
    <definedName name="sch_num_assistive_devices_atd_commb_funct_jhs">'[1]III. Table 1'!$AC$34</definedName>
    <definedName name="sch_num_assistive_devices_atd_commb_funct_shs">'[1]III. Table 1'!$AH$34</definedName>
    <definedName name="sch_num_assistive_devices_atd_comprinter_funct">'[1]III. Table 1'!$X$64</definedName>
    <definedName name="sch_num_assistive_devices_atd_comprinter_funct_jhs">'[1]III. Table 1'!$AC$64</definedName>
    <definedName name="sch_num_assistive_devices_atd_comprinter_funct_shs">'[1]III. Table 1'!$AH$64</definedName>
    <definedName name="sch_num_assistive_devices_atd_computer_funct">'[1]III. Table 1'!$X$65</definedName>
    <definedName name="sch_num_assistive_devices_atd_computer_funct_jhs">'[1]III. Table 1'!$AC$65</definedName>
    <definedName name="sch_num_assistive_devices_atd_computer_funct_shs">'[1]III. Table 1'!$AH$65</definedName>
    <definedName name="sch_num_assistive_devices_atd_crut_funct">'[1]III. Table 1'!$X$43</definedName>
    <definedName name="sch_num_assistive_devices_atd_crut_funct_jhs">'[1]III. Table 1'!$AC$43</definedName>
    <definedName name="sch_num_assistive_devices_atd_crut_funct_shs">'[1]III. Table 1'!$AH$43</definedName>
    <definedName name="sch_num_assistive_devices_atd_ergot_funct">'[1]III. Table 1'!$X$44</definedName>
    <definedName name="sch_num_assistive_devices_atd_ergot_funct_jhs">'[1]III. Table 1'!$AC$44</definedName>
    <definedName name="sch_num_assistive_devices_atd_ergot_funct_shs">'[1]III. Table 1'!$AH$44</definedName>
    <definedName name="sch_num_assistive_devices_atd_fad_funct">'[1]III. Table 1'!$X$35</definedName>
    <definedName name="sch_num_assistive_devices_atd_fad_funct_jhs">'[1]III. Table 1'!$AC$35</definedName>
    <definedName name="sch_num_assistive_devices_atd_fad_funct_shs">'[1]III. Table 1'!$AH$35</definedName>
    <definedName name="sch_num_assistive_devices_atd_fadcc_funct">'[1]III. Table 1'!$X$56</definedName>
    <definedName name="sch_num_assistive_devices_atd_fadcc_funct_jhs">'[1]III. Table 1'!$AC$56</definedName>
    <definedName name="sch_num_assistive_devices_atd_fadcc_funct_shs">'[1]III. Table 1'!$AH$56</definedName>
    <definedName name="sch_num_assistive_devices_atd_fadprc_funct">'[1]III. Table 1'!$X$15</definedName>
    <definedName name="sch_num_assistive_devices_atd_fadprc_funct_jhs">'[1]III. Table 1'!$AC$15</definedName>
    <definedName name="sch_num_assistive_devices_atd_fadprc_funct_shs">'[1]III. Table 1'!$AH$15</definedName>
    <definedName name="sch_num_assistive_devices_atd_footm_funct">'[1]III. Table 1'!$X$45</definedName>
    <definedName name="sch_num_assistive_devices_atd_footm_funct_jhs">'[1]III. Table 1'!$AC$45</definedName>
    <definedName name="sch_num_assistive_devices_atd_footm_funct_shs">'[1]III. Table 1'!$AH$45</definedName>
    <definedName name="sch_num_assistive_devices_atd_gadclericalc_funct">'[1]III. Table 1'!$X$63</definedName>
    <definedName name="sch_num_assistive_devices_atd_gadclericalc_funct_jhs">'[1]III. Table 1'!$AC$63</definedName>
    <definedName name="sch_num_assistive_devices_atd_gadclericalc_funct_shs">'[1]III. Table 1'!$AH$63</definedName>
    <definedName name="sch_num_assistive_devices_atd_gadcwwb_funct">'[1]III. Table 1'!$X$62</definedName>
    <definedName name="sch_num_assistive_devices_atd_gadcwwb_funct_jhs">'[1]III. Table 1'!$AC$62</definedName>
    <definedName name="sch_num_assistive_devices_atd_gadcwwb_funct_shs">'[1]III. Table 1'!$AH$62</definedName>
    <definedName name="sch_num_assistive_devices_atd_ha_funct">'[1]III. Table 1'!$X$25</definedName>
    <definedName name="sch_num_assistive_devices_atd_ha_funct_jhs">'[1]III. Table 1'!$AC$25</definedName>
    <definedName name="sch_num_assistive_devices_atd_ha_funct_shs">'[1]III. Table 1'!$AH$25</definedName>
    <definedName name="sch_num_assistive_devices_atd_hmet_funct">'[1]III. Table 1'!$X$46</definedName>
    <definedName name="sch_num_assistive_devices_atd_hmet_funct_jhs">'[1]III. Table 1'!$AC$46</definedName>
    <definedName name="sch_num_assistive_devices_atd_hmet_funct_shs">'[1]III. Table 1'!$AH$46</definedName>
    <definedName name="sch_num_assistive_devices_atd_idld_ns_funct">'[1]III. Table 1'!$X$51</definedName>
    <definedName name="sch_num_assistive_devices_atd_idld_ns_funct_jhs">'[1]III. Table 1'!$AC$51</definedName>
    <definedName name="sch_num_assistive_devices_atd_idld_ns_funct_shs">'[1]III. Table 1'!$AH$51</definedName>
    <definedName name="sch_num_assistive_devices_atd_jaws_funct">'[1]III. Table 1'!$X$16</definedName>
    <definedName name="sch_num_assistive_devices_atd_jaws_funct_jhs">'[1]III. Table 1'!$AC$16</definedName>
    <definedName name="sch_num_assistive_devices_atd_jaws_funct_shs">'[1]III. Table 1'!$AH$16</definedName>
    <definedName name="sch_num_assistive_devices_atd_lcdp_funct">'[1]III. Table 1'!$X$66</definedName>
    <definedName name="sch_num_assistive_devices_atd_lcdp_funct_jhs">'[1]III. Table 1'!$AC$66</definedName>
    <definedName name="sch_num_assistive_devices_atd_lcdp_funct_shs">'[1]III. Table 1'!$AH$66</definedName>
    <definedName name="sch_num_assistive_devices_atd_ledfba_funct">'[1]III. Table 1'!$X$26</definedName>
    <definedName name="sch_num_assistive_devices_atd_ledfba_funct_jhs">'[1]III. Table 1'!$AC$26</definedName>
    <definedName name="sch_num_assistive_devices_atd_ledfba_funct_shs">'[1]III. Table 1'!$AH$26</definedName>
    <definedName name="sch_num_assistive_devices_atd_mi_funct">'[1]III. Table 1'!$X$57</definedName>
    <definedName name="sch_num_assistive_devices_atd_mi_funct_jhs">'[1]III. Table 1'!$AC$57</definedName>
    <definedName name="sch_num_assistive_devices_atd_mi_funct_shs">'[1]III. Table 1'!$AH$57</definedName>
    <definedName name="sch_num_assistive_devices_atd_ns_funct">'[1]III. Table 1'!$X$51</definedName>
    <definedName name="sch_num_assistive_devices_atd_ns_funct_jhs">'[1]III. Table 1'!$AC$51</definedName>
    <definedName name="sch_num_assistive_devices_atd_ns_funct_shs">'[1]III. Table 1'!$AH$51</definedName>
    <definedName name="sch_num_assistive_devices_atd_ns_idld_funct_jhs">'[1]III. Table 1'!$AC$51</definedName>
    <definedName name="sch_num_assistive_devices_atd_otms_funct">'[1]III. Table 1'!$X$59</definedName>
    <definedName name="sch_num_assistive_devices_atd_otms_funct_jhs">'[1]III. Table 1'!$AC$59</definedName>
    <definedName name="sch_num_assistive_devices_atd_otms_funct_shs">'[1]III. Table 1'!$AH$59</definedName>
    <definedName name="sch_num_assistive_devices_atd_pas_funct">'[1]III. Table 1'!$X$27</definedName>
    <definedName name="sch_num_assistive_devices_atd_pas_funct_jhs">'[1]III. Table 1'!$AC$27</definedName>
    <definedName name="sch_num_assistive_devices_atd_pas_funct_shs">'[1]III. Table 1'!$AH$27</definedName>
    <definedName name="sch_num_assistive_devices_atd_podclericalc_funct">'[1]III. Table 1'!$X$42</definedName>
    <definedName name="sch_num_assistive_devices_atd_podclericalc_funct_jhs">'[1]III. Table 1'!$AC$42</definedName>
    <definedName name="sch_num_assistive_devices_atd_podclericalc_funct_shs">'[1]III. Table 1'!$AH$42</definedName>
    <definedName name="sch_num_assistive_devices_atd_podcwwb_funct">'[1]III. Table 1'!$X$41</definedName>
    <definedName name="sch_num_assistive_devices_atd_podcwwb_funct_jhs">'[1]III. Table 1'!$AC$41</definedName>
    <definedName name="sch_num_assistive_devices_atd_podcwwb_funct_shs">'[1]III. Table 1'!$AH$41</definedName>
    <definedName name="sch_num_assistive_devices_atd_rcweb_funct">'[1]III. Table 1'!$X$52</definedName>
    <definedName name="sch_num_assistive_devices_atd_rcweb_funct_jhs">'[1]III. Table 1'!$AC$52</definedName>
    <definedName name="sch_num_assistive_devices_atd_rcweb_funct_shs">'[1]III. Table 1'!$AH$52</definedName>
    <definedName name="sch_num_assistive_devices_atd_sgd_funct">'[1]III. Table 1'!$X$36</definedName>
    <definedName name="sch_num_assistive_devices_atd_sgd_funct_jhs">'[1]III. Table 1'!$AC$36</definedName>
    <definedName name="sch_num_assistive_devices_atd_sgd_funct_shs">'[1]III. Table 1'!$AH$36</definedName>
    <definedName name="sch_num_assistive_devices_atd_sm_funct">'[1]III. Table 1'!$X$53</definedName>
    <definedName name="sch_num_assistive_devices_atd_sm_funct_jhs">'[1]III. Table 1'!$AC$53</definedName>
    <definedName name="sch_num_assistive_devices_atd_sm_funct_shs">'[1]III. Table 1'!$AH$53</definedName>
    <definedName name="sch_num_assistive_devices_atd_spens_funct">'[1]III. Table 1'!$X$60</definedName>
    <definedName name="sch_num_assistive_devices_atd_spens_funct_jhs">'[1]III. Table 1'!$AC$60</definedName>
    <definedName name="sch_num_assistive_devices_atd_spens_funct_shs">'[1]III. Table 1'!$AH$60</definedName>
    <definedName name="sch_num_assistive_devices_atd_spensntwap_funct">'[1]III. Table 1'!$X$17</definedName>
    <definedName name="sch_num_assistive_devices_atd_spensntwap_funct_jhs">'[1]III. Table 1'!$AC$17</definedName>
    <definedName name="sch_num_assistive_devices_atd_spensntwap_funct_shs">'[1]III. Table 1'!$AH$17</definedName>
    <definedName name="sch_num_assistive_devices_atd_spensrma_funct">'[1]III. Table 1'!$X$54</definedName>
    <definedName name="sch_num_assistive_devices_atd_spensrma_funct_jhs">'[1]III. Table 1'!$AC$54</definedName>
    <definedName name="sch_num_assistive_devices_atd_spensrma_funct_shs">'[1]III. Table 1'!$AH$54</definedName>
    <definedName name="sch_num_assistive_devices_atd_ss_funct">'[1]III. Table 1'!$X$37</definedName>
    <definedName name="sch_num_assistive_devices_atd_ss_funct_jhs">'[1]III. Table 1'!$AC$37</definedName>
    <definedName name="sch_num_assistive_devices_atd_ss_funct_shs">'[1]III. Table 1'!$AH$37</definedName>
    <definedName name="sch_num_assistive_devices_atd_talkd_funct">'[1]III. Table 1'!$X$19</definedName>
    <definedName name="sch_num_assistive_devices_atd_talkd_funct_jhs">'[1]III. Table 1'!$AC$19</definedName>
    <definedName name="sch_num_assistive_devices_atd_talkd_funct_shs">'[1]III. Table 1'!$AH$19</definedName>
    <definedName name="sch_num_assistive_devices_atd_tc_funct">'[1]III. Table 1'!$X$18</definedName>
    <definedName name="sch_num_assistive_devices_atd_tc_funct_jhs">'[1]III. Table 1'!$AC$18</definedName>
    <definedName name="sch_num_assistive_devices_atd_tc_funct_shs">'[1]III. Table 1'!$AH$18</definedName>
    <definedName name="sch_num_assistive_devices_atd_telamp_funct">'[1]III. Table 1'!$X$28</definedName>
    <definedName name="sch_num_assistive_devices_atd_telamp_funct_jhs">'[1]III. Table 1'!$AC$28</definedName>
    <definedName name="sch_num_assistive_devices_atd_telamp_funct_shs">'[1]III. Table 1'!$AH$28</definedName>
    <definedName name="sch_num_assistive_devices_atd_telescope_funct">'[1]III. Table 1'!$X$20</definedName>
    <definedName name="sch_num_assistive_devices_atd_telescope_funct_jhs">'[1]III. Table 1'!$AC$20</definedName>
    <definedName name="sch_num_assistive_devices_atd_telescope_funct_shs">'[1]III. Table 1'!$AH$20</definedName>
    <definedName name="sch_num_assistive_devices_atd_tss_funct">'[1]III. Table 1'!$X$21</definedName>
    <definedName name="sch_num_assistive_devices_atd_tss_funct_jhs">'[1]III. Table 1'!$AC$21</definedName>
    <definedName name="sch_num_assistive_devices_atd_tss_funct_shs">'[1]III. Table 1'!$AH$21</definedName>
    <definedName name="sch_num_assistive_devices_atd_vas_funct">'[1]III. Table 1'!$X$29</definedName>
    <definedName name="sch_num_assistive_devices_atd_vas_funct_jhs">'[1]III. Table 1'!$AC$29</definedName>
    <definedName name="sch_num_assistive_devices_atd_vas_funct_shs">'[1]III. Table 1'!$AH$29</definedName>
    <definedName name="sch_num_assistive_devices_atd_voiceas_funct">'[1]III. Table 1'!$X$30</definedName>
    <definedName name="sch_num_assistive_devices_atd_voiceas_funct_jhs">'[1]III. Table 1'!$AC$30</definedName>
    <definedName name="sch_num_assistive_devices_atd_voiceas_funct_shs">'[1]III. Table 1'!$AH$30</definedName>
    <definedName name="sch_num_assistive_devices_atd_walkers_funct">'[1]III. Table 1'!$X$47</definedName>
    <definedName name="sch_num_assistive_devices_atd_walkers_funct_jhs">'[1]III. Table 1'!$AC$47</definedName>
    <definedName name="sch_num_assistive_devices_atd_walkers_funct_shs">'[1]III. Table 1'!$AH$47</definedName>
    <definedName name="sch_num_assistive_devices_atd_welchair_funct">'[1]III. Table 1'!$X$48</definedName>
    <definedName name="sch_num_assistive_devices_atd_welchair_funct_jhs">'[1]III. Table 1'!$AC$48</definedName>
    <definedName name="sch_num_assistive_devices_atd_welchair_funct_shs">'[1]III. Table 1'!$AH$48</definedName>
    <definedName name="sch_num_assistive_devices_atd_wtvls_funct">'[1]III. Table 1'!$X$31</definedName>
    <definedName name="sch_num_assistive_devices_atd_wtvls_funct_jhs">'[1]III. Table 1'!$AC$31</definedName>
    <definedName name="sch_num_assistive_devices_atd_wtvls_funct_shs">'[1]III. Table 1'!$AH$31</definedName>
    <definedName name="sch_num_assistive_devices_idld_atd_ns_funct">'[1]III. Table 1'!$X$51</definedName>
    <definedName name="sch_num_func_comp_learner_dtop_depeddcp_elem">'[1]VI. Table 1'!$J$11</definedName>
    <definedName name="sch_num_func_comp_learner_dtop_depeddcp_jhs">'[1]VI. Table 1'!$J$17</definedName>
    <definedName name="sch_num_func_comp_learner_dtop_depeddcp_shs">'[1]VI. Table 1'!$J$23</definedName>
    <definedName name="sch_num_func_comp_learner_dtop_lgusef_elem">'[1]VI. Table 1'!$T$11</definedName>
    <definedName name="sch_num_func_comp_learner_dtop_lgusef_jhs">'[1]VI. Table 1'!$T$17</definedName>
    <definedName name="sch_num_func_comp_learner_dtop_lgusef_shs">'[1]VI. Table 1'!$T$23</definedName>
    <definedName name="sch_num_func_comp_learner_dtop_nondcp_elem">'[1]VI. Table 1'!$O$11</definedName>
    <definedName name="sch_num_func_comp_learner_dtop_nondcp_jhs">'[1]VI. Table 1'!$O$17</definedName>
    <definedName name="sch_num_func_comp_learner_dtop_nondcp_shs">'[1]VI. Table 1'!$O$23</definedName>
    <definedName name="sch_num_func_comp_learner_dtop_oga_elem">'[1]VI. Table 1'!$AD$11</definedName>
    <definedName name="sch_num_func_comp_learner_dtop_oga_jhs">'[1]VI. Table 1'!$AD$17</definedName>
    <definedName name="sch_num_func_comp_learner_dtop_oga_shs">'[1]VI. Table 1'!$AD$23</definedName>
    <definedName name="sch_num_func_comp_learner_dtop_others_elem">'[1]VI. Table 1'!$AI$11</definedName>
    <definedName name="sch_num_func_comp_learner_dtop_others_jhs">'[1]VI. Table 1'!$AI$17</definedName>
    <definedName name="sch_num_func_comp_learner_dtop_others_shs">'[1]VI. Table 1'!$AI$23</definedName>
    <definedName name="sch_num_func_comp_learner_dtop_ptaprivate_elem">'[1]VI. Table 1'!$Y$11</definedName>
    <definedName name="sch_num_func_comp_learner_dtop_ptaprivate_jhs">'[1]VI. Table 1'!$Y$17</definedName>
    <definedName name="sch_num_func_comp_learner_dtop_ptaprivate_shs">'[1]VI. Table 1'!$Y$23</definedName>
    <definedName name="sch_num_func_comp_learner_laptop_depeddcp_elem">'[1]VI. Table 1'!$J$12</definedName>
    <definedName name="sch_num_func_comp_learner_laptop_depeddcp_jhs">'[1]VI. Table 1'!$J$18</definedName>
    <definedName name="sch_num_func_comp_learner_laptop_depeddcp_shs">'[1]VI. Table 1'!$J$24</definedName>
    <definedName name="sch_num_func_comp_learner_laptop_lgusef_elem">'[1]VI. Table 1'!$T$12</definedName>
    <definedName name="sch_num_func_comp_learner_laptop_lgusef_jhs">'[1]VI. Table 1'!$T$18</definedName>
    <definedName name="sch_num_func_comp_learner_laptop_lgusef_shs">'[1]VI. Table 1'!$T$24</definedName>
    <definedName name="sch_num_func_comp_learner_laptop_nondcp_elem">'[1]VI. Table 1'!$O$12</definedName>
    <definedName name="sch_num_func_comp_learner_laptop_nondcp_jhs">'[1]VI. Table 1'!$O$18</definedName>
    <definedName name="sch_num_func_comp_learner_laptop_nondcp_shs">'[1]VI. Table 1'!$O$24</definedName>
    <definedName name="sch_num_func_comp_learner_laptop_oga_elem">'[1]VI. Table 1'!$AD$12</definedName>
    <definedName name="sch_num_func_comp_learner_laptop_oga_jhs">'[1]VI. Table 1'!$AD$18</definedName>
    <definedName name="sch_num_func_comp_learner_laptop_oga_shs">'[1]VI. Table 1'!$AD$24</definedName>
    <definedName name="sch_num_func_comp_learner_laptop_others_elem">'[1]VI. Table 1'!$AI$12</definedName>
    <definedName name="sch_num_func_comp_learner_laptop_others_jhs">'[1]VI. Table 1'!$AI$18</definedName>
    <definedName name="sch_num_func_comp_learner_laptop_others_shs">'[1]VI. Table 1'!$AI$24</definedName>
    <definedName name="sch_num_func_comp_learner_laptop_ptaprivate_elem">'[1]VI. Table 1'!$Y$12</definedName>
    <definedName name="sch_num_func_comp_learner_laptop_ptaprivate_jhs">'[1]VI. Table 1'!$Y$18</definedName>
    <definedName name="sch_num_func_comp_learner_laptop_ptaprivate_shs">'[1]VI. Table 1'!$Y$24</definedName>
    <definedName name="sch_num_func_comp_learner_tablet_depeddcp_elem">'[1]VI. Table 1'!$J$13</definedName>
    <definedName name="sch_num_func_comp_learner_tablet_depeddcp_jhs">'[1]VI. Table 1'!$J$19</definedName>
    <definedName name="sch_num_func_comp_learner_tablet_depeddcp_shs">'[1]VI. Table 1'!$J$25</definedName>
    <definedName name="sch_num_func_comp_learner_tablet_lgusef_elem">'[1]VI. Table 1'!$T$13</definedName>
    <definedName name="sch_num_func_comp_learner_tablet_lgusef_jhs">'[1]VI. Table 1'!$T$19</definedName>
    <definedName name="sch_num_func_comp_learner_tablet_lgusef_shs">'[1]VI. Table 1'!$T$25</definedName>
    <definedName name="sch_num_func_comp_learner_tablet_nondcp_elem">'[1]VI. Table 1'!$O$13</definedName>
    <definedName name="sch_num_func_comp_learner_tablet_nondcp_jhs">'[1]VI. Table 1'!$O$19</definedName>
    <definedName name="sch_num_func_comp_learner_tablet_nondcp_shs">'[1]VI. Table 1'!$O$25</definedName>
    <definedName name="sch_num_func_comp_learner_tablet_oga_elem">'[1]VI. Table 1'!$AD$13</definedName>
    <definedName name="sch_num_func_comp_learner_tablet_oga_jhs">'[1]VI. Table 1'!$AD$19</definedName>
    <definedName name="sch_num_func_comp_learner_tablet_oga_shs">'[1]VI. Table 1'!$AD$25</definedName>
    <definedName name="sch_num_func_comp_learner_tablet_others_elem">'[1]VI. Table 1'!$AI$13</definedName>
    <definedName name="sch_num_func_comp_learner_tablet_others_jhs">'[1]VI. Table 1'!$AI$19</definedName>
    <definedName name="sch_num_func_comp_learner_tablet_others_shs">'[1]VI. Table 1'!$AI$25</definedName>
    <definedName name="sch_num_func_comp_learner_tablet_ptaprivate_elem">'[1]VI. Table 1'!$Y$13</definedName>
    <definedName name="sch_num_func_comp_learner_tablet_ptaprivate_jhs">'[1]VI. Table 1'!$Y$19</definedName>
    <definedName name="sch_num_func_comp_learner_tablet_ptaprivate_shs">'[1]VI. Table 1'!$Y$25</definedName>
    <definedName name="sch_num_func_comp_learner_tabletpc_depeddcp_elem">'[1]VI. Table 1'!$J$14</definedName>
    <definedName name="sch_num_func_comp_learner_tabletpc_depeddcp_jhs">'[1]VI. Table 1'!$J$20</definedName>
    <definedName name="sch_num_func_comp_learner_tabletpc_depeddcp_shs">'[1]VI. Table 1'!$J$26</definedName>
    <definedName name="sch_num_func_comp_learner_tabletpc_lgusef_elem">'[1]VI. Table 1'!$T$14</definedName>
    <definedName name="sch_num_func_comp_learner_tabletpc_lgusef_jhs">'[1]VI. Table 1'!$T$20</definedName>
    <definedName name="sch_num_func_comp_learner_tabletpc_lgusef_shs">'[1]VI. Table 1'!$T$26</definedName>
    <definedName name="sch_num_func_comp_learner_tabletpc_nondcp_elem">'[1]VI. Table 1'!$O$14</definedName>
    <definedName name="sch_num_func_comp_learner_tabletpc_nondcp_jhs">'[1]VI. Table 1'!$O$20</definedName>
    <definedName name="sch_num_func_comp_learner_tabletpc_nondcp_shs">'[1]VI. Table 1'!$O$26</definedName>
    <definedName name="sch_num_func_comp_learner_tabletpc_oga_elem">'[1]VI. Table 1'!$AD$14</definedName>
    <definedName name="sch_num_func_comp_learner_tabletpc_oga_jhs">'[1]VI. Table 1'!$AD$20</definedName>
    <definedName name="sch_num_func_comp_learner_tabletpc_oga_shs">'[1]VI. Table 1'!$AD$26</definedName>
    <definedName name="sch_num_func_comp_learner_tabletpc_others_elem">'[1]VI. Table 1'!$AI$14</definedName>
    <definedName name="sch_num_func_comp_learner_tabletpc_others_jhs">'[1]VI. Table 1'!$AI$20</definedName>
    <definedName name="sch_num_func_comp_learner_tabletpc_others_shs">'[1]VI. Table 1'!$AI$26</definedName>
    <definedName name="sch_num_func_comp_learner_tabletpc_ptaprivate_elem">'[1]VI. Table 1'!$Y$14</definedName>
    <definedName name="sch_num_func_comp_learner_tabletpc_ptaprivate_jhs">'[1]VI. Table 1'!$Y$20</definedName>
    <definedName name="sch_num_func_comp_learner_tabletpc_ptaprivate_shs">'[1]VI. Table 1'!$Y$26</definedName>
    <definedName name="sch_num_func_comp_teacher_dtop_depeddcp_elem">'[1]VI. Table 1'!$J$39</definedName>
    <definedName name="sch_num_func_comp_teacher_dtop_depeddcp_jhs">'[1]VI. Table 1'!$J$45</definedName>
    <definedName name="sch_num_func_comp_teacher_dtop_depeddcp_shs">'[1]VI. Table 1'!$J$51</definedName>
    <definedName name="sch_num_func_comp_teacher_dtop_lgusef_elem">'[1]VI. Table 1'!$T$39</definedName>
    <definedName name="sch_num_func_comp_teacher_dtop_lgusef_jhs">'[1]VI. Table 1'!$T$45</definedName>
    <definedName name="sch_num_func_comp_teacher_dtop_lgusef_shs">'[1]VI. Table 1'!$T$51</definedName>
    <definedName name="sch_num_func_comp_teacher_dtop_nondcp_elem">'[1]VI. Table 1'!$O$39</definedName>
    <definedName name="sch_num_func_comp_teacher_dtop_nondcp_jhs">'[1]VI. Table 1'!$O$45</definedName>
    <definedName name="sch_num_func_comp_teacher_dtop_nondcp_shs">'[1]VI. Table 1'!$O$51</definedName>
    <definedName name="sch_num_func_comp_teacher_dtop_oga_elem">'[1]VI. Table 1'!$AD$39</definedName>
    <definedName name="sch_num_func_comp_teacher_dtop_oga_jhs">'[1]VI. Table 1'!$AD$45</definedName>
    <definedName name="sch_num_func_comp_teacher_dtop_oga_shs">'[1]VI. Table 1'!$AD$51</definedName>
    <definedName name="sch_num_func_comp_teacher_dtop_others_elem">'[1]VI. Table 1'!$AI$39</definedName>
    <definedName name="sch_num_func_comp_teacher_dtop_others_jhs">'[1]VI. Table 1'!$AI$45</definedName>
    <definedName name="sch_num_func_comp_teacher_dtop_others_shs">'[1]VI. Table 1'!$AI$51</definedName>
    <definedName name="sch_num_func_comp_teacher_dtop_ptaprivate_elem">'[1]VI. Table 1'!$Y$39</definedName>
    <definedName name="sch_num_func_comp_teacher_dtop_ptaprivate_jhs">'[1]VI. Table 1'!$Y$45</definedName>
    <definedName name="sch_num_func_comp_teacher_dtop_ptaprivate_shs">'[1]VI. Table 1'!$Y$51</definedName>
    <definedName name="sch_num_func_comp_teacher_laptop_depeddcp_elem">'[1]VI. Table 1'!$J$40</definedName>
    <definedName name="sch_num_func_comp_teacher_laptop_depeddcp_jhs">'[1]VI. Table 1'!$J$46</definedName>
    <definedName name="sch_num_func_comp_teacher_laptop_depeddcp_shs">'[1]VI. Table 1'!$J$52</definedName>
    <definedName name="sch_num_func_comp_teacher_laptop_lgusef_elem">'[1]VI. Table 1'!$T$40</definedName>
    <definedName name="sch_num_func_comp_teacher_laptop_lgusef_jhs">'[1]VI. Table 1'!$T$46</definedName>
    <definedName name="sch_num_func_comp_teacher_laptop_lgusef_shs">'[1]VI. Table 1'!$T$52</definedName>
    <definedName name="sch_num_func_comp_teacher_laptop_nondcp_elem">'[1]VI. Table 1'!$O$40</definedName>
    <definedName name="sch_num_func_comp_teacher_laptop_nondcp_jhs">'[1]VI. Table 1'!$O$46</definedName>
    <definedName name="sch_num_func_comp_teacher_laptop_nondcp_shs">'[1]VI. Table 1'!$O$52</definedName>
    <definedName name="sch_num_func_comp_teacher_laptop_oga_elem">'[1]VI. Table 1'!$AD$40</definedName>
    <definedName name="sch_num_func_comp_teacher_laptop_oga_jhs">'[1]VI. Table 1'!$AD$46</definedName>
    <definedName name="sch_num_func_comp_teacher_laptop_oga_shs">'[1]VI. Table 1'!$AD$52</definedName>
    <definedName name="sch_num_func_comp_teacher_laptop_others_elem">'[1]VI. Table 1'!$AI$40</definedName>
    <definedName name="sch_num_func_comp_teacher_laptop_others_jhs">'[1]VI. Table 1'!$AI$46</definedName>
    <definedName name="sch_num_func_comp_teacher_laptop_others_shs">'[1]VI. Table 1'!$AI$52</definedName>
    <definedName name="sch_num_func_comp_teacher_laptop_ptaprivate_elem">'[1]VI. Table 1'!$Y$40</definedName>
    <definedName name="sch_num_func_comp_teacher_laptop_ptaprivate_jhs">'[1]VI. Table 1'!$Y$46</definedName>
    <definedName name="sch_num_func_comp_teacher_laptop_ptaprivate_shs">'[1]VI. Table 1'!$Y$52</definedName>
    <definedName name="sch_num_func_comp_teacher_tablet_depeddcp_elem">'[1]VI. Table 1'!$J$41</definedName>
    <definedName name="sch_num_func_comp_teacher_tablet_depeddcp_jhs">'[1]VI. Table 1'!$J$47</definedName>
    <definedName name="sch_num_func_comp_teacher_tablet_depeddcp_shs">'[1]VI. Table 1'!$J$53</definedName>
    <definedName name="sch_num_func_comp_teacher_tablet_lgusef_elem">'[1]VI. Table 1'!$T$41</definedName>
    <definedName name="sch_num_func_comp_teacher_tablet_lgusef_jhs">'[1]VI. Table 1'!$T$47</definedName>
    <definedName name="sch_num_func_comp_teacher_tablet_lgusef_shs">'[1]VI. Table 1'!$T$53</definedName>
    <definedName name="sch_num_func_comp_teacher_tablet_nondcp_elem">'[1]VI. Table 1'!$O$41</definedName>
    <definedName name="sch_num_func_comp_teacher_tablet_nondcp_jhs">'[1]VI. Table 1'!$O$47</definedName>
    <definedName name="sch_num_func_comp_teacher_tablet_nondcp_shs">'[1]VI. Table 1'!$O$53</definedName>
    <definedName name="sch_num_func_comp_teacher_tablet_oga_elem">'[1]VI. Table 1'!$AD$41</definedName>
    <definedName name="sch_num_func_comp_teacher_tablet_oga_jhs">'[1]VI. Table 1'!$AD$47</definedName>
    <definedName name="sch_num_func_comp_teacher_tablet_oga_shs">'[1]VI. Table 1'!$AD$53</definedName>
    <definedName name="sch_num_func_comp_teacher_tablet_others_elem">'[1]VI. Table 1'!$AI$41</definedName>
    <definedName name="sch_num_func_comp_teacher_tablet_others_jhs">'[1]VI. Table 1'!$AI$47</definedName>
    <definedName name="sch_num_func_comp_teacher_tablet_others_shs">'[1]VI. Table 1'!$AI$53</definedName>
    <definedName name="sch_num_func_comp_teacher_tablet_ptaprivate_elem">'[1]VI. Table 1'!$Y$41</definedName>
    <definedName name="sch_num_func_comp_teacher_tablet_ptaprivate_jhs">'[1]VI. Table 1'!$Y$47</definedName>
    <definedName name="sch_num_func_comp_teacher_tablet_ptaprivate_shs">'[1]VI. Table 1'!$Y$53</definedName>
    <definedName name="sch_num_func_comp_teacher_tabletpc_depeddcp_elem">'[1]VI. Table 1'!$J$42</definedName>
    <definedName name="sch_num_func_comp_teacher_tabletpc_depeddcp_jhs">'[1]VI. Table 1'!$J$48</definedName>
    <definedName name="sch_num_func_comp_teacher_tabletpc_depeddcp_shs">'[1]VI. Table 1'!$J$54</definedName>
    <definedName name="sch_num_func_comp_teacher_tabletpc_lgusef_elem">'[1]VI. Table 1'!$T$42</definedName>
    <definedName name="sch_num_func_comp_teacher_tabletpc_lgusef_jhs">'[1]VI. Table 1'!$T$48</definedName>
    <definedName name="sch_num_func_comp_teacher_tabletpc_lgusef_shs">'[1]VI. Table 1'!$T$54</definedName>
    <definedName name="sch_num_func_comp_teacher_tabletpc_nondcp_elem">'[1]VI. Table 1'!$O$42</definedName>
    <definedName name="sch_num_func_comp_teacher_tabletpc_nondcp_jhs">'[1]VI. Table 1'!$O$48</definedName>
    <definedName name="sch_num_func_comp_teacher_tabletpc_nondcp_shs">'[1]VI. Table 1'!$O$54</definedName>
    <definedName name="sch_num_func_comp_teacher_tabletpc_oga_elem">'[1]VI. Table 1'!$AD$42</definedName>
    <definedName name="sch_num_func_comp_teacher_tabletpc_oga_jhs">'[1]VI. Table 1'!$AD$48</definedName>
    <definedName name="sch_num_func_comp_teacher_tabletpc_oga_shs">'[1]VI. Table 1'!$AD$54</definedName>
    <definedName name="sch_num_func_comp_teacher_tabletpc_others_elem">'[1]VI. Table 1'!$AI$42</definedName>
    <definedName name="sch_num_func_comp_teacher_tabletpc_others_jhs">'[1]VI. Table 1'!$AI$48</definedName>
    <definedName name="sch_num_func_comp_teacher_tabletpc_others_shs">'[1]VI. Table 1'!$AI$54</definedName>
    <definedName name="sch_num_func_comp_teacher_tabletpc_ptaprivate_elem">'[1]VI. Table 1'!$Y$42</definedName>
    <definedName name="sch_num_func_comp_teacher_tabletpc_ptaprivate_jhs">'[1]VI. Table 1'!$Y$48</definedName>
    <definedName name="sch_num_func_comp_teacher_tabletpc_ptaprivate_shs">'[1]VI. Table 1'!$Y$54</definedName>
    <definedName name="sch_num_func_comp_tr_ntr_dtop_depeddcp_shs">'[1]VI. Table 1'!$J$62</definedName>
    <definedName name="sch_num_func_comp_tr_ntr_dtop_lgusef_shs">'[1]VI. Table 1'!$T$62</definedName>
    <definedName name="sch_num_func_comp_tr_ntr_dtop_nondcp_shs">'[1]VI. Table 1'!$O$62</definedName>
    <definedName name="sch_num_func_comp_tr_ntr_dtop_oga_shs">'[1]VI. Table 1'!$AD$62</definedName>
    <definedName name="sch_num_func_comp_tr_ntr_dtop_others_shs">'[1]VI. Table 1'!$AI$62</definedName>
    <definedName name="sch_num_func_comp_tr_ntr_dtop_ptaprivate_shs">'[1]VI. Table 1'!$Y$62</definedName>
    <definedName name="sch_num_func_comp_tr_ntr_laptop_depeddcp_shs">'[1]VI. Table 1'!$J$63</definedName>
    <definedName name="sch_num_func_comp_tr_ntr_laptop_lgusef_shs">'[1]VI. Table 1'!$T$63</definedName>
    <definedName name="sch_num_func_comp_tr_ntr_laptop_nondcp_shs">'[1]VI. Table 1'!$O$63</definedName>
    <definedName name="sch_num_func_comp_tr_ntr_laptop_oga_shs">'[1]VI. Table 1'!$AD$63</definedName>
    <definedName name="sch_num_func_comp_tr_ntr_laptop_others_shs">'[1]VI. Table 1'!$AI$63</definedName>
    <definedName name="sch_num_func_comp_tr_ntr_laptop_ptaprivate_shs">'[1]VI. Table 1'!$Y$63</definedName>
    <definedName name="sch_num_func_comp_tr_ntr_tablet_depeddcp_shs">'[1]VI. Table 1'!$J$64</definedName>
    <definedName name="sch_num_func_comp_tr_ntr_tablet_lgusef_shs">'[1]VI. Table 1'!$T$64</definedName>
    <definedName name="sch_num_func_comp_tr_ntr_tablet_nondcp_shs">'[1]VI. Table 1'!$O$64</definedName>
    <definedName name="sch_num_func_comp_tr_ntr_tablet_oga_shs">'[1]VI. Table 1'!$AD$64</definedName>
    <definedName name="sch_num_func_comp_tr_ntr_tablet_others_shs">'[1]VI. Table 1'!$AI$64</definedName>
    <definedName name="sch_num_func_comp_tr_ntr_tablet_ptaprivate_shs">'[1]VI. Table 1'!$Y$64</definedName>
    <definedName name="sch_num_func_comp_tr_ntr_tabletpc_depeddcp_shs">'[1]VI. Table 1'!$J$65</definedName>
    <definedName name="sch_num_func_comp_tr_ntr_tabletpc_lgusef_shs">'[1]VI. Table 1'!$T$65</definedName>
    <definedName name="sch_num_func_comp_tr_ntr_tabletpc_nondcp_shs">'[1]VI. Table 1'!$O$65</definedName>
    <definedName name="sch_num_func_comp_tr_ntr_tabletpc_oga_shs">'[1]VI. Table 1'!$AD$65</definedName>
    <definedName name="sch_num_func_comp_tr_ntr_tabletpc_others_shs">'[1]VI. Table 1'!$AI$65</definedName>
    <definedName name="sch_num_func_comp_tr_ntr_tabletpc_ptaprivate_shs">'[1]VI. Table 1'!$Y$65</definedName>
    <definedName name="sch_num_func_ecart_chcart_202201">'[1]VI. Tables 2 to 4'!$I$28</definedName>
    <definedName name="sch_num_func_ecart_chcart_202301">'[1]VI. Tables 2 to 4'!$M$28</definedName>
    <definedName name="sch_num_func_ecart_chcart_202401">'[1]VI. Tables 2 to 4'!$Q$28</definedName>
    <definedName name="sch_num_func_ecart_chcart_202501">'[1]VI. Tables 2 to 4'!$U$28</definedName>
    <definedName name="sch_num_func_ecart_ehd_202201">'[1]VI. Tables 2 to 4'!$I$29</definedName>
    <definedName name="sch_num_func_ecart_ehd_202301">'[1]VI. Tables 2 to 4'!$M$29</definedName>
    <definedName name="sch_num_func_ecart_ehd_202401">'[1]VI. Tables 2 to 4'!$Q$29</definedName>
    <definedName name="sch_num_func_ecart_ehd_202501">'[1]VI. Tables 2 to 4'!$U$29</definedName>
    <definedName name="sch_num_func_ecart_laptop_202201">'[1]VI. Tables 2 to 4'!$I$26</definedName>
    <definedName name="sch_num_func_ecart_laptop_202301">'[1]VI. Tables 2 to 4'!$M$26</definedName>
    <definedName name="sch_num_func_ecart_laptop_202401">'[1]VI. Tables 2 to 4'!$Q$26</definedName>
    <definedName name="sch_num_func_ecart_laptop_202501">'[1]VI. Tables 2 to 4'!$U$26</definedName>
    <definedName name="sch_num_func_ecart_smarttv_202201">'[1]VI. Tables 2 to 4'!$I$27</definedName>
    <definedName name="sch_num_func_ecart_smarttv_202301">'[1]VI. Tables 2 to 4'!$M$27</definedName>
    <definedName name="sch_num_func_ecart_smarttv_202401">'[1]VI. Tables 2 to 4'!$Q$27</definedName>
    <definedName name="sch_num_func_ecart_smarttv_202501">'[1]VI. Tables 2 to 4'!$U$27</definedName>
    <definedName name="sch_num_func_ict_chcart_depeddcp">'[1]VI. Tables 2 to 4'!$I$16</definedName>
    <definedName name="sch_num_func_ict_chcart_nondcp">'[1]VI. Tables 2 to 4'!$M$16</definedName>
    <definedName name="sch_num_func_ict_chcart_others">'[1]VI. Tables 2 to 4'!$Q$16</definedName>
    <definedName name="sch_num_func_ict_ehd_depeddcp">'[1]VI. Tables 2 to 4'!$I$14</definedName>
    <definedName name="sch_num_func_ict_ehd_nondcp">'[1]VI. Tables 2 to 4'!$M$14</definedName>
    <definedName name="sch_num_func_ict_ehd_others">'[1]VI. Tables 2 to 4'!$Q$14</definedName>
    <definedName name="sch_num_func_ict_lapel_depeddcp">'[1]VI. Tables 2 to 4'!$I$15</definedName>
    <definedName name="sch_num_func_ict_lapel_nondcp">'[1]VI. Tables 2 to 4'!$M$15</definedName>
    <definedName name="sch_num_func_ict_lapel_others">'[1]VI. Tables 2 to 4'!$Q$15</definedName>
    <definedName name="sch_num_func_ict_led_depeddcp">'[1]VI. Tables 2 to 4'!$I$10</definedName>
    <definedName name="sch_num_func_ict_led_nondcp">'[1]VI. Tables 2 to 4'!$M$10</definedName>
    <definedName name="sch_num_func_ict_led_others">'[1]VI. Tables 2 to 4'!$Q$10</definedName>
    <definedName name="sch_num_func_ict_printer_depeddcp">'[1]VI. Tables 2 to 4'!$I$12</definedName>
    <definedName name="sch_num_func_ict_printer_nondcp">'[1]VI. Tables 2 to 4'!$M$12</definedName>
    <definedName name="sch_num_func_ict_printer_others">'[1]VI. Tables 2 to 4'!$Q$12</definedName>
    <definedName name="sch_num_func_ict_projector_depeddcp">'[1]VI. Tables 2 to 4'!$I$13</definedName>
    <definedName name="sch_num_func_ict_projector_nondcp">'[1]VI. Tables 2 to 4'!$M$13</definedName>
    <definedName name="sch_num_func_ict_projector_others">'[1]VI. Tables 2 to 4'!$Q$13</definedName>
    <definedName name="sch_num_func_ict_smarttv_depeddcp">'[1]VI. Tables 2 to 4'!$I$11</definedName>
    <definedName name="sch_num_func_ict_smarttv_nondcp">'[1]VI. Tables 2 to 4'!$M$11</definedName>
    <definedName name="sch_num_func_ict_smarttv_others">'[1]VI. Tables 2 to 4'!$Q$11</definedName>
    <definedName name="sch_num_func_radio_lit_g1">'[1]VI. Tables 2 to 4'!$I$37</definedName>
    <definedName name="sch_num_func_radio_lit_g2">'[1]VI. Tables 2 to 4'!$I$38</definedName>
    <definedName name="sch_num_func_radio_lit_g3">'[1]VI. Tables 2 to 4'!$I$39</definedName>
    <definedName name="sch_num_func_radio_lit_g4">'[1]VI. Tables 2 to 4'!$I$40</definedName>
    <definedName name="sch_num_func_radio_lit_g5">'[1]VI. Tables 2 to 4'!$I$41</definedName>
    <definedName name="sch_num_func_radio_lit_g6">'[1]VI. Tables 2 to 4'!$I$42</definedName>
    <definedName name="sch_num_func_radio_num_g1">'[1]VI. Tables 2 to 4'!$M$37</definedName>
    <definedName name="sch_num_func_radio_num_g2">'[1]VI. Tables 2 to 4'!$M$38</definedName>
    <definedName name="sch_num_func_radio_num_g3">'[1]VI. Tables 2 to 4'!$M$39</definedName>
    <definedName name="sch_num_func_radio_num_g4">'[1]VI. Tables 2 to 4'!$M$40</definedName>
    <definedName name="sch_num_func_radio_num_g5">'[1]VI. Tables 2 to 4'!$M$41</definedName>
    <definedName name="sch_num_func_radio_num_g6">'[1]VI. Tables 2 to 4'!$M$42</definedName>
    <definedName name="sch_num_teach_ip_gr11_f">'[1]XIII. Box 1 (Part B)'!$AU$35</definedName>
    <definedName name="sch_num_teach_ip_gr11_m">'[1]XIII. Box 1 (Part B)'!$AR$35</definedName>
    <definedName name="sch_num_teach_ip_gr12_f">'[1]XIII. Box 1 (Part B)'!$BA$35</definedName>
    <definedName name="sch_num_teach_ip_gr12_m">'[1]XIII. Box 1 (Part B)'!$AX$35</definedName>
    <definedName name="sch_num_teach_orient_iped_f">'[1]XIII. Box 1 (Part B)'!$T$47</definedName>
    <definedName name="sch_num_teach_orient_iped_m">'[1]XIII. Box 1 (Part B)'!$N$47</definedName>
    <definedName name="sch_num_teach_train_iped_f">'[1]XIII. Box 1 (Part B)'!$AX$47</definedName>
    <definedName name="sch_num_teach_train_iped_m">'[1]XIII. Box 1 (Part B)'!$AR$47</definedName>
    <definedName name="sch_operational_teen_ctr_ifyes">'IX. Boxes 5 &amp; 6'!$V$13</definedName>
    <definedName name="sch_opn_hs">'[1]School Profile'!$AI$38</definedName>
    <definedName name="sch_others_ccam_g10">'[1]XII. Box 4 (Part 1)'!$AR$29</definedName>
    <definedName name="sch_others_ccam_g7">'[1]XII. Box 4 (Part 1)'!$AI$29</definedName>
    <definedName name="sch_others_ccam_g8">'[1]XII. Box 4 (Part 1)'!$AL$29</definedName>
    <definedName name="sch_others_ccam_g9">'[1]XII. Box 4 (Part 1)'!$AO$29</definedName>
    <definedName name="sch_others_drrm_g10">'[1]XII. Box 4 (Part 1)'!$AF$29</definedName>
    <definedName name="sch_others_drrm_g7">'[1]XII. Box 4 (Part 1)'!$W$29</definedName>
    <definedName name="sch_others_drrm_g8">'[1]XII. Box 4 (Part 1)'!$Z$29</definedName>
    <definedName name="sch_others_drrm_g9">'[1]XII. Box 4 (Part 1)'!$AC$29</definedName>
    <definedName name="sch_participated_drill_01_earthquake">'[1]XII. Box 3 (Parts 1 and 2)'!$L$74</definedName>
    <definedName name="sch_participated_drill_01_fire">'[1]XII. Box 3 (Parts 1 and 2)'!$L$75</definedName>
    <definedName name="sch_participated_drill_01_flood_evacuation">'[1]XII. Box 3 (Parts 1 and 2)'!$L$76</definedName>
    <definedName name="sch_participated_drill_01_lockdown">'[1]XII. Box 3 (Parts 1 and 2)'!$L$77</definedName>
    <definedName name="sch_participated_drill_01_stormsurge">'[1]XII. Box 3 (Parts 1 and 2)'!$L$78</definedName>
    <definedName name="sch_participated_drill_01_tsunami">'[1]XII. Box 3 (Parts 1 and 2)'!$L$79</definedName>
    <definedName name="sch_participated_drill_02_earthquake">'[1]XII. Box 3 (Parts 1 and 2)'!$N$74</definedName>
    <definedName name="sch_participated_drill_02_fire">'[1]XII. Box 3 (Parts 1 and 2)'!$N$75</definedName>
    <definedName name="sch_participated_drill_02_flood_evacuation">'[1]XII. Box 3 (Parts 1 and 2)'!$N$76</definedName>
    <definedName name="sch_participated_drill_02_lockdown">'[1]XII. Box 3 (Parts 1 and 2)'!$N$77</definedName>
    <definedName name="sch_participated_drill_02_stormsurge">'[1]XII. Box 3 (Parts 1 and 2)'!$N$78</definedName>
    <definedName name="sch_participated_drill_02_tsunami">'[1]XII. Box 3 (Parts 1 and 2)'!$N$79</definedName>
    <definedName name="sch_participated_drill_03_earthquake">'[1]XII. Box 3 (Parts 1 and 2)'!$P$74</definedName>
    <definedName name="sch_participated_drill_03_fire">'[1]XII. Box 3 (Parts 1 and 2)'!$P$75</definedName>
    <definedName name="sch_participated_drill_03_flood_evacuation">'[1]XII. Box 3 (Parts 1 and 2)'!$P$76</definedName>
    <definedName name="sch_participated_drill_03_lockdown">'[1]XII. Box 3 (Parts 1 and 2)'!$P$77</definedName>
    <definedName name="sch_participated_drill_03_stormsurge">'[1]XII. Box 3 (Parts 1 and 2)'!$P$78</definedName>
    <definedName name="sch_participated_drill_03_tsunami">'[1]XII. Box 3 (Parts 1 and 2)'!$P$79</definedName>
    <definedName name="sch_participated_drill_04_earthquake">'[1]XII. Box 3 (Parts 1 and 2)'!$R$74</definedName>
    <definedName name="sch_participated_drill_04_fire">'[1]XII. Box 3 (Parts 1 and 2)'!$R$75</definedName>
    <definedName name="sch_participated_drill_04_flood_evacuation">'[1]XII. Box 3 (Parts 1 and 2)'!$R$76</definedName>
    <definedName name="sch_participated_drill_04_lockdown">'[1]XII. Box 3 (Parts 1 and 2)'!$R$77</definedName>
    <definedName name="sch_participated_drill_04_stormsurge">'[1]XII. Box 3 (Parts 1 and 2)'!$R$78</definedName>
    <definedName name="sch_participated_drill_04_tsunami">'[1]XII. Box 3 (Parts 1 and 2)'!$R$79</definedName>
    <definedName name="sch_participated_drill_05_earthquake">'[1]XII. Box 3 (Parts 1 and 2)'!$T$74</definedName>
    <definedName name="sch_participated_drill_05_fire">'[1]XII. Box 3 (Parts 1 and 2)'!$T$75</definedName>
    <definedName name="sch_participated_drill_05_flood_evacuation">'[1]XII. Box 3 (Parts 1 and 2)'!$T$76</definedName>
    <definedName name="sch_participated_drill_05_lockdown">'[1]XII. Box 3 (Parts 1 and 2)'!$T$77</definedName>
    <definedName name="sch_participated_drill_05_stormsurge">'[1]XII. Box 3 (Parts 1 and 2)'!$T$78</definedName>
    <definedName name="sch_participated_drill_05_tsunami">'[1]XII. Box 3 (Parts 1 and 2)'!$T$79</definedName>
    <definedName name="sch_participated_drill_06_earthquake">'[1]XII. Box 3 (Parts 1 and 2)'!$V$74</definedName>
    <definedName name="sch_participated_drill_06_fire">'[1]XII. Box 3 (Parts 1 and 2)'!$V$75</definedName>
    <definedName name="sch_participated_drill_06_flood_evacuation">'[1]XII. Box 3 (Parts 1 and 2)'!$V$76</definedName>
    <definedName name="sch_participated_drill_06_lockdown">'[1]XII. Box 3 (Parts 1 and 2)'!$V$77</definedName>
    <definedName name="sch_participated_drill_06_stormsurge">'[1]XII. Box 3 (Parts 1 and 2)'!$V$78</definedName>
    <definedName name="sch_participated_drill_06_tsunami">'[1]XII. Box 3 (Parts 1 and 2)'!$V$79</definedName>
    <definedName name="sch_participated_drill_07_earthquake">'[1]XII. Box 3 (Parts 1 and 2)'!$X$74</definedName>
    <definedName name="sch_participated_drill_07_fire">'[1]XII. Box 3 (Parts 1 and 2)'!$X$75</definedName>
    <definedName name="sch_participated_drill_07_flood_evacuation">'[1]XII. Box 3 (Parts 1 and 2)'!$X$76</definedName>
    <definedName name="sch_participated_drill_07_lockdown">'[1]XII. Box 3 (Parts 1 and 2)'!$X$77</definedName>
    <definedName name="sch_participated_drill_07_stormsurge">'[1]XII. Box 3 (Parts 1 and 2)'!$X$78</definedName>
    <definedName name="sch_participated_drill_07_tsunami">'[1]XII. Box 3 (Parts 1 and 2)'!$X$79</definedName>
    <definedName name="sch_participated_drill_08_earthquake">'[1]XII. Box 3 (Parts 1 and 2)'!$Z$74</definedName>
    <definedName name="sch_participated_drill_08_fire">'[1]XII. Box 3 (Parts 1 and 2)'!$Z$75</definedName>
    <definedName name="sch_participated_drill_08_flood_evacuation">'[1]XII. Box 3 (Parts 1 and 2)'!$Z$76</definedName>
    <definedName name="sch_participated_drill_08_lockdown">'[1]XII. Box 3 (Parts 1 and 2)'!$Z$77</definedName>
    <definedName name="sch_participated_drill_08_stormsurge">'[1]XII. Box 3 (Parts 1 and 2)'!$Z$78</definedName>
    <definedName name="sch_participated_drill_08_tsunami">'[1]XII. Box 3 (Parts 1 and 2)'!$Z$79</definedName>
    <definedName name="sch_participated_drill_09_earthquake">'[1]XII. Box 3 (Parts 1 and 2)'!$AB$74</definedName>
    <definedName name="sch_participated_drill_09_fire">'[1]XII. Box 3 (Parts 1 and 2)'!$AB$75</definedName>
    <definedName name="sch_participated_drill_09_flood_evacuation">'[1]XII. Box 3 (Parts 1 and 2)'!$AB$76</definedName>
    <definedName name="sch_participated_drill_09_lockdown">'[1]XII. Box 3 (Parts 1 and 2)'!$AB$77</definedName>
    <definedName name="sch_participated_drill_09_stormsurge">'[1]XII. Box 3 (Parts 1 and 2)'!$AB$78</definedName>
    <definedName name="sch_participated_drill_09_tsunami">'[1]XII. Box 3 (Parts 1 and 2)'!$AB$79</definedName>
    <definedName name="sch_participated_drill_10_earthquake">'[1]XII. Box 3 (Parts 1 and 2)'!$AD$74</definedName>
    <definedName name="sch_participated_drill_10_fire">'[1]XII. Box 3 (Parts 1 and 2)'!$AD$75</definedName>
    <definedName name="sch_participated_drill_10_flood_evacuation">'[1]XII. Box 3 (Parts 1 and 2)'!$AD$76</definedName>
    <definedName name="sch_participated_drill_10_lockdown">'[1]XII. Box 3 (Parts 1 and 2)'!$AD$77</definedName>
    <definedName name="sch_participated_drill_10_stormsurge">'[1]XII. Box 3 (Parts 1 and 2)'!$AD$78</definedName>
    <definedName name="sch_participated_drill_10_tsunami">'[1]XII. Box 3 (Parts 1 and 2)'!$AD$79</definedName>
    <definedName name="sch_participated_drill_11_earthquake">'[1]XII. Box 3 (Parts 1 and 2)'!$AF$74</definedName>
    <definedName name="sch_participated_drill_11_fire">'[1]XII. Box 3 (Parts 1 and 2)'!$AF$75</definedName>
    <definedName name="sch_participated_drill_11_flood_evacuation">'[1]XII. Box 3 (Parts 1 and 2)'!$AF$76</definedName>
    <definedName name="sch_participated_drill_11_lockdown">'[1]XII. Box 3 (Parts 1 and 2)'!$AF$77</definedName>
    <definedName name="sch_participated_drill_11_stormsurge">'[1]XII. Box 3 (Parts 1 and 2)'!$AF$78</definedName>
    <definedName name="sch_participated_drill_11_tsunami">'[1]XII. Box 3 (Parts 1 and 2)'!$AF$79</definedName>
    <definedName name="sch_participated_drill_12_earthquake">'[1]XII. Box 3 (Parts 1 and 2)'!$AH$74</definedName>
    <definedName name="sch_participated_drill_12_fire">'[1]XII. Box 3 (Parts 1 and 2)'!$AH$75</definedName>
    <definedName name="sch_participated_drill_12_flood_evacuation">'[1]XII. Box 3 (Parts 1 and 2)'!$AH$76</definedName>
    <definedName name="sch_participated_drill_12_lockdown">'[1]XII. Box 3 (Parts 1 and 2)'!$AH$77</definedName>
    <definedName name="sch_participated_drill_12_stormsurge">'[1]XII. Box 3 (Parts 1 and 2)'!$AH$78</definedName>
    <definedName name="sch_participated_drill_12_tsunami">'[1]XII. Box 3 (Parts 1 and 2)'!$AH$79</definedName>
    <definedName name="sch_participated_drrmccampdp_activities_lgu_partners">'[1]XII. Box 3 (Parts 1 and 2)'!$D$29</definedName>
    <definedName name="sch_pe_ccam_g10">'[1]XII. Box 4 (Part 1)'!$AR$26</definedName>
    <definedName name="sch_pe_ccam_g7">'[1]XII. Box 4 (Part 1)'!$AI$26</definedName>
    <definedName name="sch_pe_ccam_g8">'[1]XII. Box 4 (Part 1)'!$AL$26</definedName>
    <definedName name="sch_pe_ccam_g9">'[1]XII. Box 4 (Part 1)'!$AO$26</definedName>
    <definedName name="sch_pe_drrm_g10">'[1]XII. Box 4 (Part 1)'!$AF$26</definedName>
    <definedName name="sch_pe_drrm_g7">'[1]XII. Box 4 (Part 1)'!$W$26</definedName>
    <definedName name="sch_pe_drrm_g8">'[1]XII. Box 4 (Part 1)'!$Z$26</definedName>
    <definedName name="sch_pe_drrm_g9">'[1]XII. Box 4 (Part 1)'!$AC$26</definedName>
    <definedName name="sch_preg_adm_g11">'IX. Boxes 5 &amp; 6'!$AQ$11</definedName>
    <definedName name="sch_preg_adm_g12">'IX. Boxes 5 &amp; 6'!$AT$11</definedName>
    <definedName name="sch_preg_insch_g11">'IX. Boxes 5 &amp; 6'!$AQ$10</definedName>
    <definedName name="sch_preg_insch_g12">'IX. Boxes 5 &amp; 6'!$AT$10</definedName>
    <definedName name="sch_present_result_fepp_pta_lgu">'[1]XII. Box 3 (Parts 1 and 2)'!$D$25</definedName>
    <definedName name="sch_prev_name">'[1]School Profile'!$G$23</definedName>
    <definedName name="sch_region">'[1]School Profile'!$AH$21</definedName>
    <definedName name="sch_safelearn_repair_y_apr">'[1]XII. Box 2'!$N$52</definedName>
    <definedName name="sch_safelearn_repair_y_aug">'[1]XII. Box 2'!$Z$52</definedName>
    <definedName name="sch_safelearn_repair_y_dec">'[1]XII. Box 2'!$AL$52</definedName>
    <definedName name="sch_safelearn_repair_y_feb">'[1]XII. Box 2'!$H$52</definedName>
    <definedName name="sch_safelearn_repair_y_jan">'[1]XII. Box 2'!$E$52</definedName>
    <definedName name="sch_safelearn_repair_y_jul">'[1]XII. Box 2'!$W$52</definedName>
    <definedName name="sch_safelearn_repair_y_jun">'[1]XII. Box 2'!$T$52</definedName>
    <definedName name="sch_safelearn_repair_y_mar">'[1]XII. Box 2'!$K$52</definedName>
    <definedName name="sch_safelearn_repair_y_may">'[1]XII. Box 2'!$Q$52</definedName>
    <definedName name="sch_safelearn_repair_y_nov">'[1]XII. Box 2'!$AI$52</definedName>
    <definedName name="sch_safelearn_repair_y_oct">'[1]XII. Box 2'!$AF$52</definedName>
    <definedName name="sch_safelearn_repair_y_sep">'[1]XII. Box 2'!$AC$52</definedName>
    <definedName name="sch_schoolhead_attended_iped_orientation">'[1]XIII. Box 1 (Part A)'!$AL$46</definedName>
    <definedName name="sch_schoolhead_ip">'[1]XIII. Box 1 (Part A)'!$AL$40</definedName>
    <definedName name="sch_schoolhead_ip_specify">'[1]XIII. Box 1 (Part A)'!$AL$42</definedName>
    <definedName name="sch_schoolhead_ip_specify2">'[1]XIII. Box 1 (Part A)'!$AL$44</definedName>
    <definedName name="sch_sci_hs">'[1]School Profile'!$W$38</definedName>
    <definedName name="sch_science_ccam_g10">'[1]XII. Box 4 (Part 1)'!$AR$23</definedName>
    <definedName name="sch_science_ccam_g7">'[1]XII. Box 4 (Part 1)'!$AI$23</definedName>
    <definedName name="sch_science_ccam_g8">'[1]XII. Box 4 (Part 1)'!$AL$23</definedName>
    <definedName name="sch_science_ccam_g9">'[1]XII. Box 4 (Part 1)'!$AO$23</definedName>
    <definedName name="sch_science_drrm_g10">'[1]XII. Box 4 (Part 1)'!$AF$23</definedName>
    <definedName name="sch_science_drrm_g7">'[1]XII. Box 4 (Part 1)'!$W$23</definedName>
    <definedName name="sch_science_drrm_g8">'[1]XII. Box 4 (Part 1)'!$Z$23</definedName>
    <definedName name="sch_science_drrm_g9">'[1]XII. Box 4 (Part 1)'!$AC$23</definedName>
    <definedName name="sch_sco_accredit_clubs_orgs_yes">'[1]V. Box 3'!$AI$25</definedName>
    <definedName name="sch_sco_club_int_talent_culli">'[1]V. Box 3'!$V$62</definedName>
    <definedName name="sch_sco_club_int_talent_dance">'[1]V. Box 3'!$G$62</definedName>
    <definedName name="sch_sco_club_int_talent_drama">'[1]V. Box 3'!$G$63</definedName>
    <definedName name="sch_sco_club_int_talent_others">'[1]V. Box 3'!$V$63</definedName>
    <definedName name="sch_sco_club_int_talent_others_specify">'[1]V. Box 3'!$AC$63</definedName>
    <definedName name="sch_sco_club_int_talent_photog">'[1]V. Box 3'!$G$64</definedName>
    <definedName name="sch_sco_club_org_acad_arts">'[1]V. Box 3'!$V$44</definedName>
    <definedName name="sch_sco_club_org_acad_eng">'[1]V. Box 3'!$G$43</definedName>
    <definedName name="sch_sco_club_org_acad_fil">'[1]V. Box 3'!$G$46</definedName>
    <definedName name="sch_sco_club_org_acad_math">'[1]V. Box 3'!$G$45</definedName>
    <definedName name="sch_sco_club_org_acad_music">'[1]V. Box 3'!$V$43</definedName>
    <definedName name="sch_sco_club_org_acad_others">'[1]V. Box 3'!$V$45</definedName>
    <definedName name="sch_sco_club_org_acad_others_specify">'[1]V. Box 3'!$AC$45</definedName>
    <definedName name="sch_sco_club_org_acad_sci">'[1]V. Box 3'!$G$44</definedName>
    <definedName name="sch_sco_club_org_advo_aware_ber">'[1]V. Box 3'!$V$50</definedName>
    <definedName name="sch_sco_club_org_advo_aware_bkd">'[1]V. Box 3'!$G$52</definedName>
    <definedName name="sch_sco_club_org_advo_aware_others">'[1]V. Box 3'!$V$52</definedName>
    <definedName name="sch_sco_club_org_advo_aware_others_specify">'[1]V. Box 3'!$AC$52</definedName>
    <definedName name="sch_sco_club_org_advo_aware_rcyc">'[1]V. Box 3'!$G$51</definedName>
    <definedName name="sch_sco_club_org_advo_aware_wisc">'[1]V. Box 3'!$V$51</definedName>
    <definedName name="sch_sco_club_org_advo_aware_yeso">'[1]V. Box 3'!$G$50</definedName>
    <definedName name="sch_sco_club_org_faith_belief_bsc">'[1]V. Box 3'!$G$56</definedName>
    <definedName name="sch_sco_club_org_faith_belief_cyf">'[1]V. Box 3'!$G$57</definedName>
    <definedName name="sch_sco_club_org_faith_belief_cym">'[1]V. Box 3'!$V$56</definedName>
    <definedName name="sch_sco_club_org_faith_belief_isc">'[1]V. Box 3'!$G$58</definedName>
    <definedName name="sch_sco_club_org_faith_belief_others">'[1]V. Box 3'!$V$57</definedName>
    <definedName name="sch_sco_club_org_faith_belief_others_specify">'[1]V. Box 3'!$AC$57</definedName>
    <definedName name="sch_sco_club_org_lead_gov_bsp">'[1]V. Box 3'!$G$68</definedName>
    <definedName name="sch_sco_club_org_lead_gov_gsp">'[1]V. Box 3'!$G$69</definedName>
    <definedName name="sch_sco_club_org_lead_gov_others">'[1]V. Box 3'!$V$68</definedName>
    <definedName name="sch_sco_club_org_lead_gov_others_specify">'[1]V. Box 3'!$AC$68</definedName>
    <definedName name="sch_sco_clubs_4to6_f">'[1]V. Box 3'!$O$11</definedName>
    <definedName name="sch_sco_clubs_4to6_m">'[1]V. Box 3'!$L$11</definedName>
    <definedName name="sch_sco_clubs_jhs_f">'[1]V. Box 3'!$O$13</definedName>
    <definedName name="sch_sco_clubs_jhs_m">'[1]V. Box 3'!$L$13</definedName>
    <definedName name="sch_sco_clubs_kto3_f">'[1]V. Box 3'!$O$10</definedName>
    <definedName name="sch_sco_clubs_kto3_m">'[1]V. Box 3'!$L$10</definedName>
    <definedName name="sch_sco_clubs_orgs_ip_f">'[1]V. Box 3'!$R$21</definedName>
    <definedName name="sch_sco_clubs_orgs_ip_m">'[1]V. Box 3'!$L$21</definedName>
    <definedName name="sch_sco_clubs_orgs_lwd_f">'[1]V. Box 3'!$R$20</definedName>
    <definedName name="sch_sco_clubs_orgs_lwd_m">'[1]V. Box 3'!$L$20</definedName>
    <definedName name="sch_sco_clubs_orgs_muslim_f">'[1]V. Box 3'!$R$22</definedName>
    <definedName name="sch_sco_clubs_orgs_muslim_m">'[1]V. Box 3'!$L$22</definedName>
    <definedName name="sch_sco_clubs_orgs_total_f">'[1]V. Box 3'!$AR$15</definedName>
    <definedName name="sch_sco_clubs_orgs_total_m">'[1]V. Box 3'!$AR$14</definedName>
    <definedName name="sch_sco_clubs_shs_f">'[1]V. Box 3'!$O$14</definedName>
    <definedName name="sch_sco_clubs_shs_m">'[1]V. Box 3'!$L$14</definedName>
    <definedName name="sch_sco_organizations_4to6_f">'[1]V. Box 3'!$X$11</definedName>
    <definedName name="sch_sco_organizations_4to6_m">'[1]V. Box 3'!$U$11</definedName>
    <definedName name="sch_sco_organizations_jhs_f">'[1]V. Box 3'!$X$13</definedName>
    <definedName name="sch_sco_organizations_jhs_m">'[1]V. Box 3'!$U$13</definedName>
    <definedName name="sch_sco_organizations_kto3_f">'[1]V. Box 3'!$X$10</definedName>
    <definedName name="sch_sco_organizations_kto3_m">'[1]V. Box 3'!$U$10</definedName>
    <definedName name="sch_sco_organizations_shs_f">'[1]V. Box 3'!$X$14</definedName>
    <definedName name="sch_sco_organizations_shs_m">'[1]V. Box 3'!$U$14</definedName>
    <definedName name="sch_sco_personnel_adviser_club_nt_f">'[1]V. Box 3'!$O$34</definedName>
    <definedName name="sch_sco_personnel_adviser_club_nt_m">'[1]V. Box 3'!$L$34</definedName>
    <definedName name="sch_sco_personnel_adviser_club_org_nt_f">'[1]V. Box 3'!$AG$34</definedName>
    <definedName name="sch_sco_personnel_adviser_club_org_nt_m">'[1]V. Box 3'!$AD$34</definedName>
    <definedName name="sch_sco_personnel_adviser_club_org_teaching_f">'[1]V. Box 3'!$AG$32</definedName>
    <definedName name="sch_sco_personnel_adviser_club_org_teaching_m">'[1]V. Box 3'!$AD$32</definedName>
    <definedName name="sch_sco_personnel_adviser_club_org_tra_f">'[1]V. Box 3'!$AG$33</definedName>
    <definedName name="sch_sco_personnel_adviser_club_org_tra_m">'[1]V. Box 3'!$AD$33</definedName>
    <definedName name="sch_sco_personnel_adviser_club_teaching_f">'[1]V. Box 3'!$O$32</definedName>
    <definedName name="sch_sco_personnel_adviser_club_teaching_m">'[1]V. Box 3'!$L$32</definedName>
    <definedName name="sch_sco_personnel_adviser_club_tra_f">'[1]V. Box 3'!$O$33</definedName>
    <definedName name="sch_sco_personnel_adviser_club_tra_m">'[1]V. Box 3'!$L$33</definedName>
    <definedName name="sch_sco_personnel_adviser_org_nt_f">'[1]V. Box 3'!$X$34</definedName>
    <definedName name="sch_sco_personnel_adviser_org_nt_m">'[1]V. Box 3'!$U$34</definedName>
    <definedName name="sch_sco_personnel_adviser_org_teaching_f">'[1]V. Box 3'!$X$32</definedName>
    <definedName name="sch_sco_personnel_adviser_org_teaching_m">'[1]V. Box 3'!$U$32</definedName>
    <definedName name="sch_sco_personnel_adviser_org_tra_f">'[1]V. Box 3'!$X$33</definedName>
    <definedName name="sch_sco_personnel_adviser_org_tra_m">'[1]V. Box 3'!$U$33</definedName>
    <definedName name="sch_site_focal_name">'[1]Part VIII. School Site.'!$D$24</definedName>
    <definedName name="sch_site_focal_pos">'[1]Part VIII. School Site.'!$E$28</definedName>
    <definedName name="sch_sp_se_num_coaches_aerogymn">'[1]XI. Table 1'!$Z$23</definedName>
    <definedName name="sch_sp_se_num_coaches_arch">'[1]XI. Table 1'!$Z$10</definedName>
    <definedName name="sch_sp_se_num_coaches_arnis">'[1]XI. Table 1'!$Z$11</definedName>
    <definedName name="sch_sp_se_num_coaches_athleticsparagame">'[1]XI. Table 1'!$Z$38</definedName>
    <definedName name="sch_sp_se_num_coaches_athlthrow">'[1]XI. Table 1'!$Z$12</definedName>
    <definedName name="sch_sp_se_num_coaches_athltrun">'[1]XI. Table 1'!$Z$13</definedName>
    <definedName name="sch_sp_se_num_coaches_badm">'[1]XI. Table 1'!$Z$14</definedName>
    <definedName name="sch_sp_se_num_coaches_baseball">'[1]XI. Table 1'!$Z$16</definedName>
    <definedName name="sch_sp_se_num_coaches_basket">'[1]XI. Table 1'!$Z$15</definedName>
    <definedName name="sch_sp_se_num_coaches_billard">'[1]XI. Table 1'!$Z$17</definedName>
    <definedName name="sch_sp_se_num_coaches_bocce">'[1]XI. Table 1'!$Z$41</definedName>
    <definedName name="sch_sp_se_num_coaches_boxing">'[1]XI. Table 1'!$Z$18</definedName>
    <definedName name="sch_sp_se_num_coaches_chess">'[1]XI. Table 1'!$Z$19</definedName>
    <definedName name="sch_sp_se_num_coaches_dancesports">'[1]XI. Table 1'!$Z$20</definedName>
    <definedName name="sch_sp_se_num_coaches_football">'[1]XI. Table 1'!$Z$21</definedName>
    <definedName name="sch_sp_se_num_coaches_futsal">'[1]XI. Table 1'!$Z$22</definedName>
    <definedName name="sch_sp_se_num_coaches_goalball">'[1]XI. Table 1'!$Z$40</definedName>
    <definedName name="sch_sp_se_num_coaches_mag">'[1]XI. Table 1'!$Z$24</definedName>
    <definedName name="sch_sp_se_num_coaches_othersports">'[1]XI. Table 1'!$Z$43</definedName>
    <definedName name="sch_sp_se_num_coaches_pencak">'[1]XI. Table 1'!$Z$27</definedName>
    <definedName name="sch_sp_se_num_coaches_phgames">'[1]XI. Table 1'!$Z$42</definedName>
    <definedName name="sch_sp_se_num_coaches_rg">'[1]XI. Table 1'!$Z$26</definedName>
    <definedName name="sch_sp_se_num_coaches_sepaktakraw">'[1]XI. Table 1'!$Z$28</definedName>
    <definedName name="sch_sp_se_num_coaches_softball">'[1]XI. Table 1'!$Z$29</definedName>
    <definedName name="sch_sp_se_num_coaches_swimming">'[1]XI. Table 1'!$Z$30</definedName>
    <definedName name="sch_sp_se_num_coaches_swimmingparagame">'[1]XI. Table 1'!$Z$39</definedName>
    <definedName name="sch_sp_se_num_coaches_tabletennis">'[1]XI. Table 1'!$Z$31</definedName>
    <definedName name="sch_sp_se_num_coaches_taekwondo">'[1]XI. Table 1'!$Z$32</definedName>
    <definedName name="sch_sp_se_num_coaches_tennis">'[1]XI. Table 1'!$Z$33</definedName>
    <definedName name="sch_sp_se_num_coaches_volleyball">'[1]XI. Table 1'!$Z$34</definedName>
    <definedName name="sch_sp_se_num_coaches_wag">'[1]XI. Table 1'!$Z$25</definedName>
    <definedName name="sch_sp_se_num_coaches_weightlifting">'[1]XI. Table 1'!$Z$35</definedName>
    <definedName name="sch_sp_se_num_coaches_wrestling">'[1]XI. Table 1'!$Z$36</definedName>
    <definedName name="sch_sp_se_num_coaches_wushu">'[1]XI. Table 1'!$Z$37</definedName>
    <definedName name="sch_sp_se_num_coachesjhs_aerogymn">'[1]XI. Table 1'!$AT$23</definedName>
    <definedName name="sch_sp_se_num_coachesjhs_archery">'[1]XI. Table 1'!$AT$10</definedName>
    <definedName name="sch_sp_se_num_coachesjhs_arnis">'[1]XI. Table 1'!$AT$11</definedName>
    <definedName name="sch_sp_se_num_coachesjhs_athl_para">'[1]XI. Table 1'!$AT$38</definedName>
    <definedName name="sch_sp_se_num_coachesjhs_athlthrow">'[1]XI. Table 1'!$AT$12</definedName>
    <definedName name="sch_sp_se_num_coachesjhs_athltrun">'[1]XI. Table 1'!$AT$13</definedName>
    <definedName name="sch_sp_se_num_coachesjhs_badminton">'[1]XI. Table 1'!$AT$14</definedName>
    <definedName name="sch_sp_se_num_coachesjhs_baseball">'[1]XI. Table 1'!$AT$16</definedName>
    <definedName name="sch_sp_se_num_coachesjhs_basketball">'[1]XI. Table 1'!$AT$15</definedName>
    <definedName name="sch_sp_se_num_coachesjhs_billard">'[1]XI. Table 1'!$AT$17</definedName>
    <definedName name="sch_sp_se_num_coachesjhs_bocce_para">'[1]XI. Table 1'!$AT$41</definedName>
    <definedName name="sch_sp_se_num_coachesjhs_boxing">'[1]XI. Table 1'!$AT$18</definedName>
    <definedName name="sch_sp_se_num_coachesjhs_chess">'[1]XI. Table 1'!$AT$19</definedName>
    <definedName name="sch_sp_se_num_coachesjhs_dancesports">'[1]XI. Table 1'!$AT$20</definedName>
    <definedName name="sch_sp_se_num_coachesjhs_football">'[1]XI. Table 1'!$AT$21</definedName>
    <definedName name="sch_sp_se_num_coachesjhs_futsal">'[1]XI. Table 1'!$AT$22</definedName>
    <definedName name="sch_sp_se_num_coachesjhs_goalball_para">'[1]XI. Table 1'!$AT$40</definedName>
    <definedName name="sch_sp_se_num_coachesjhs_mag">'[1]XI. Table 1'!$AT$24</definedName>
    <definedName name="sch_sp_se_num_coachesjhs_othersports_para">'[1]XI. Table 1'!$AT$43</definedName>
    <definedName name="sch_sp_se_num_coachesjhs_pencaksilat">'[1]XI. Table 1'!$AT$27</definedName>
    <definedName name="sch_sp_se_num_coachesjhs_phgames_para">'[1]XI. Table 1'!$AT$42</definedName>
    <definedName name="sch_sp_se_num_coachesjhs_rg">'[1]XI. Table 1'!$AT$26</definedName>
    <definedName name="sch_sp_se_num_coachesjhs_sepaktakraw">'[1]XI. Table 1'!$AT$28</definedName>
    <definedName name="sch_sp_se_num_coachesjhs_softball">'[1]XI. Table 1'!$AT$29</definedName>
    <definedName name="sch_sp_se_num_coachesjhs_swimming">'[1]XI. Table 1'!$AT$30</definedName>
    <definedName name="sch_sp_se_num_coachesjhs_swimming_para">'[1]XI. Table 1'!$AT$39</definedName>
    <definedName name="sch_sp_se_num_coachesjhs_tabletennis">'[1]XI. Table 1'!$AT$31</definedName>
    <definedName name="sch_sp_se_num_coachesjhs_taekwondo">'[1]XI. Table 1'!$AT$32</definedName>
    <definedName name="sch_sp_se_num_coachesjhs_tennis">'[1]XI. Table 1'!$AT$33</definedName>
    <definedName name="sch_sp_se_num_coachesjhs_volleyball">'[1]XI. Table 1'!$AT$34</definedName>
    <definedName name="sch_sp_se_num_coachesjhs_wag">'[1]XI. Table 1'!$AT$25</definedName>
    <definedName name="sch_sp_se_num_coachesjhs_weightlifting">'[1]XI. Table 1'!$AT$35</definedName>
    <definedName name="sch_sp_se_num_coachesjhs_wrestling">'[1]XI. Table 1'!$AT$36</definedName>
    <definedName name="sch_sp_se_num_coachesjhs_wushu">'[1]XI. Table 1'!$AT$37</definedName>
    <definedName name="sch_sp_se_num_coachesshs_aerogymn">'[1]XI. Table 1'!$BN$23</definedName>
    <definedName name="sch_sp_se_num_coachesshs_archery">'[1]XI. Table 1'!$BN$10</definedName>
    <definedName name="sch_sp_se_num_coachesshs_arnis">'[1]XI. Table 1'!$BN$11</definedName>
    <definedName name="sch_sp_se_num_coachesshs_athl_para">'[1]XI. Table 1'!$BN$38</definedName>
    <definedName name="sch_sp_se_num_coachesshs_athlthrow">'[1]XI. Table 1'!$BN$12</definedName>
    <definedName name="sch_sp_se_num_coachesshs_athltrun">'[1]XI. Table 1'!$BN$13</definedName>
    <definedName name="sch_sp_se_num_coachesshs_badminton">'[1]XI. Table 1'!$BN$14</definedName>
    <definedName name="sch_sp_se_num_coachesshs_baseball">'[1]XI. Table 1'!$BN$16</definedName>
    <definedName name="sch_sp_se_num_coachesshs_basketball">'[1]XI. Table 1'!$BN$15</definedName>
    <definedName name="sch_sp_se_num_coachesshs_billard">'[1]XI. Table 1'!$BN$17</definedName>
    <definedName name="sch_sp_se_num_coachesshs_bocce_para">'[1]XI. Table 1'!$BN$41</definedName>
    <definedName name="sch_sp_se_num_coachesshs_boxing">'[1]XI. Table 1'!$BN$18</definedName>
    <definedName name="sch_sp_se_num_coachesshs_chess">'[1]XI. Table 1'!$BN$19</definedName>
    <definedName name="sch_sp_se_num_coachesshs_dancesports">'[1]XI. Table 1'!$BN$20</definedName>
    <definedName name="sch_sp_se_num_coachesshs_football">'[1]XI. Table 1'!$BN$21</definedName>
    <definedName name="sch_sp_se_num_coachesshs_futsal">'[1]XI. Table 1'!$BN$22</definedName>
    <definedName name="sch_sp_se_num_coachesshs_goalball_para">'[1]XI. Table 1'!$BN$40</definedName>
    <definedName name="sch_sp_se_num_coachesshs_mag">'[1]XI. Table 1'!$BN$24</definedName>
    <definedName name="sch_sp_se_num_coachesshs_othersports_para">'[1]XI. Table 1'!$BN$43</definedName>
    <definedName name="sch_sp_se_num_coachesshs_pencaksilat">'[1]XI. Table 1'!$BN$27</definedName>
    <definedName name="sch_sp_se_num_coachesshs_phgames_para">'[1]XI. Table 1'!$BN$42</definedName>
    <definedName name="sch_sp_se_num_coachesshs_rg">'[1]XI. Table 1'!$BN$26</definedName>
    <definedName name="sch_sp_se_num_coachesshs_sepaktakraw">'[1]XI. Table 1'!$BN$28</definedName>
    <definedName name="sch_sp_se_num_coachesshs_softball">'[1]XI. Table 1'!$BN$29</definedName>
    <definedName name="sch_sp_se_num_coachesshs_swimming">'[1]XI. Table 1'!$BN$30</definedName>
    <definedName name="sch_sp_se_num_coachesshs_swimming_para">'[1]XI. Table 1'!$BN$39</definedName>
    <definedName name="sch_sp_se_num_coachesshs_tabletennis">'[1]XI. Table 1'!$BN$31</definedName>
    <definedName name="sch_sp_se_num_coachesshs_taekwondo">'[1]XI. Table 1'!$BN$32</definedName>
    <definedName name="sch_sp_se_num_coachesshs_tennis">'[1]XI. Table 1'!$BN$33</definedName>
    <definedName name="sch_sp_se_num_coachesshs_volleyball">'[1]XI. Table 1'!$BN$34</definedName>
    <definedName name="sch_sp_se_num_coachesshs_wag">'[1]XI. Table 1'!$BN$25</definedName>
    <definedName name="sch_sp_se_num_coachesshs_weightlifting">'[1]XI. Table 1'!$BN$35</definedName>
    <definedName name="sch_sp_se_num_coachesshs_wrestling">'[1]XI. Table 1'!$BN$36</definedName>
    <definedName name="sch_sp_se_num_coachesshs_wushu">'[1]XI. Table 1'!$BN$37</definedName>
    <definedName name="sch_sp_se_num_coordinators_aerogymn">'[1]XI. Table 1'!$U$23</definedName>
    <definedName name="sch_sp_se_num_coordinators_arch">'[1]XI. Table 1'!$U$10</definedName>
    <definedName name="sch_sp_se_num_coordinators_arnis">'[1]XI. Table 1'!$U$11</definedName>
    <definedName name="sch_sp_se_num_coordinators_athleticsparagame">'[1]XI. Table 1'!$U$38</definedName>
    <definedName name="sch_sp_se_num_coordinators_athlthrow">'[1]XI. Table 1'!$U$12</definedName>
    <definedName name="sch_sp_se_num_coordinators_athltrun">'[1]XI. Table 1'!$U$13</definedName>
    <definedName name="sch_sp_se_num_coordinators_badm">'[1]XI. Table 1'!$U$14</definedName>
    <definedName name="sch_sp_se_num_coordinators_baseball">'[1]XI. Table 1'!$U$16</definedName>
    <definedName name="sch_sp_se_num_coordinators_basket">'[1]XI. Table 1'!$U$15</definedName>
    <definedName name="sch_sp_se_num_coordinators_billard">'[1]XI. Table 1'!$U$17</definedName>
    <definedName name="sch_sp_se_num_coordinators_bocce">'[1]XI. Table 1'!$U$41</definedName>
    <definedName name="sch_sp_se_num_coordinators_boxing">'[1]XI. Table 1'!$U$18</definedName>
    <definedName name="sch_sp_se_num_coordinators_chess">'[1]XI. Table 1'!$U$19</definedName>
    <definedName name="sch_sp_se_num_coordinators_dancesports">'[1]XI. Table 1'!$U$20</definedName>
    <definedName name="sch_sp_se_num_coordinators_football">'[1]XI. Table 1'!$U$21</definedName>
    <definedName name="sch_sp_se_num_coordinators_futsal">'[1]XI. Table 1'!$U$22</definedName>
    <definedName name="sch_sp_se_num_coordinators_goalball">'[1]XI. Table 1'!$U$40</definedName>
    <definedName name="sch_sp_se_num_coordinators_mag">'[1]XI. Table 1'!$U$24</definedName>
    <definedName name="sch_sp_se_num_coordinators_othersports">'[1]XI. Table 1'!$U$43</definedName>
    <definedName name="sch_sp_se_num_coordinators_pencak">'[1]XI. Table 1'!$U$27</definedName>
    <definedName name="sch_sp_se_num_coordinators_phgames">'[1]XI. Table 1'!$U$42</definedName>
    <definedName name="sch_sp_se_num_coordinators_rg">'[1]XI. Table 1'!$U$26</definedName>
    <definedName name="sch_sp_se_num_coordinators_sepaktakraw">'[1]XI. Table 1'!$U$28</definedName>
    <definedName name="sch_sp_se_num_coordinators_softball">'[1]XI. Table 1'!$U$29</definedName>
    <definedName name="sch_sp_se_num_coordinators_swimming">'[1]XI. Table 1'!$U$30</definedName>
    <definedName name="sch_sp_se_num_coordinators_swimmingparagame">'[1]XI. Table 1'!$U$39</definedName>
    <definedName name="sch_sp_se_num_coordinators_tabletennis">'[1]XI. Table 1'!$U$31</definedName>
    <definedName name="sch_sp_se_num_coordinators_taekwondo">'[1]XI. Table 1'!$U$32</definedName>
    <definedName name="sch_sp_se_num_coordinators_tennis">'[1]XI. Table 1'!$U$33</definedName>
    <definedName name="sch_sp_se_num_coordinators_volleyball">'[1]XI. Table 1'!$U$34</definedName>
    <definedName name="sch_sp_se_num_coordinators_wag">'[1]XI. Table 1'!$U$25</definedName>
    <definedName name="sch_sp_se_num_coordinators_weightlifting">'[1]XI. Table 1'!$U$35</definedName>
    <definedName name="sch_sp_se_num_coordinators_wrestling">'[1]XI. Table 1'!$U$36</definedName>
    <definedName name="sch_sp_se_num_coordinators_wushu">'[1]XI. Table 1'!$U$37</definedName>
    <definedName name="sch_sp_se_num_coordinatorsshs_aerogymn">'[1]XI. Table 1'!$BI$23</definedName>
    <definedName name="sch_sp_se_num_coordinatorsshs_archery">'[1]XI. Table 1'!$BI$10</definedName>
    <definedName name="sch_sp_se_num_coordinatorsshs_arnis">'[1]XI. Table 1'!$BI$11</definedName>
    <definedName name="sch_sp_se_num_coordinatorsshs_athl_para">'[1]XI. Table 1'!$BI$38</definedName>
    <definedName name="sch_sp_se_num_coordinatorsshs_athlthrow">'[1]XI. Table 1'!$BI$12</definedName>
    <definedName name="sch_sp_se_num_coordinatorsshs_athltrun">'[1]XI. Table 1'!$BI$13</definedName>
    <definedName name="sch_sp_se_num_coordinatorsshs_badminton">'[1]XI. Table 1'!$BI$14</definedName>
    <definedName name="sch_sp_se_num_coordinatorsshs_baseball">'[1]XI. Table 1'!$BI$16</definedName>
    <definedName name="sch_sp_se_num_coordinatorsshs_basketball">'[1]XI. Table 1'!$BI$15</definedName>
    <definedName name="sch_sp_se_num_coordinatorsshs_billard">'[1]XI. Table 1'!$BI$17</definedName>
    <definedName name="sch_sp_se_num_coordinatorsshs_bocce_para">'[1]XI. Table 1'!$BI$41</definedName>
    <definedName name="sch_sp_se_num_coordinatorsshs_boxing">'[1]XI. Table 1'!$BI$18</definedName>
    <definedName name="sch_sp_se_num_coordinatorsshs_chess">'[1]XI. Table 1'!$BI$19</definedName>
    <definedName name="sch_sp_se_num_coordinatorsshs_dancesports">'[1]XI. Table 1'!$BI$20</definedName>
    <definedName name="sch_sp_se_num_coordinatorsshs_football">'[1]XI. Table 1'!$BI$21</definedName>
    <definedName name="sch_sp_se_num_coordinatorsshs_futsal">'[1]XI. Table 1'!$BI$22</definedName>
    <definedName name="sch_sp_se_num_coordinatorsshs_goalball_para">'[1]XI. Table 1'!$BI$40</definedName>
    <definedName name="sch_sp_se_num_coordinatorsshs_mag">'[1]XI. Table 1'!$BI$24</definedName>
    <definedName name="sch_sp_se_num_coordinatorsshs_othersports_para">'[1]XI. Table 1'!$BI$43</definedName>
    <definedName name="sch_sp_se_num_coordinatorsshs_pencaksilat">'[1]XI. Table 1'!$BI$27</definedName>
    <definedName name="sch_sp_se_num_coordinatorsshs_phgames_para">'[1]XI. Table 1'!$BI$42</definedName>
    <definedName name="sch_sp_se_num_coordinatorsshs_rg">'[1]XI. Table 1'!$BI$26</definedName>
    <definedName name="sch_sp_se_num_coordinatorsshs_sepaktakraw">'[1]XI. Table 1'!$BI$28</definedName>
    <definedName name="sch_sp_se_num_coordinatorsshs_softball">'[1]XI. Table 1'!$BI$29</definedName>
    <definedName name="sch_sp_se_num_coordinatorsshs_swimming">'[1]XI. Table 1'!$BI$30</definedName>
    <definedName name="sch_sp_se_num_coordinatorsshs_swimming_para">'[1]XI. Table 1'!$BI$39</definedName>
    <definedName name="sch_sp_se_num_coordinatorsshs_tabletennis">'[1]XI. Table 1'!$BI$31</definedName>
    <definedName name="sch_sp_se_num_coordinatorsshs_taekwondo">'[1]XI. Table 1'!$BI$32</definedName>
    <definedName name="sch_sp_se_num_coordinatorsshs_tennis">'[1]XI. Table 1'!$BI$33</definedName>
    <definedName name="sch_sp_se_num_coordinatorsshs_volleyball">'[1]XI. Table 1'!$BI$34</definedName>
    <definedName name="sch_sp_se_num_coordinatorsshs_wag">'[1]XI. Table 1'!$BI$25</definedName>
    <definedName name="sch_sp_se_num_coordinatorsshs_weightlifting">'[1]XI. Table 1'!$BI$35</definedName>
    <definedName name="sch_sp_se_num_coordinatorsshs_wrestling">'[1]XI. Table 1'!$BI$36</definedName>
    <definedName name="sch_sp_se_num_coordinatorsshs_wushu">'[1]XI. Table 1'!$BI$37</definedName>
    <definedName name="sch_sp_se_num_coordinatorssjhs_aerogymn">'[1]XI. Table 1'!$AO$23</definedName>
    <definedName name="sch_sp_se_num_coordinatorssjhs_archery">'[1]XI. Table 1'!$AO$10</definedName>
    <definedName name="sch_sp_se_num_coordinatorssjhs_arnis">'[1]XI. Table 1'!$AO$11</definedName>
    <definedName name="sch_sp_se_num_coordinatorssjhs_athl_para">'[1]XI. Table 1'!$AO$38</definedName>
    <definedName name="sch_sp_se_num_coordinatorssjhs_athlthrow">'[1]XI. Table 1'!$AO$12</definedName>
    <definedName name="sch_sp_se_num_coordinatorssjhs_athltrun">'[1]XI. Table 1'!$AO$13</definedName>
    <definedName name="sch_sp_se_num_coordinatorssjhs_badminton">'[1]XI. Table 1'!$AO$14</definedName>
    <definedName name="sch_sp_se_num_coordinatorssjhs_baseball">'[1]XI. Table 1'!$AO$16</definedName>
    <definedName name="sch_sp_se_num_coordinatorssjhs_basketball">'[1]XI. Table 1'!$AO$15</definedName>
    <definedName name="sch_sp_se_num_coordinatorssjhs_billard">'[1]XI. Table 1'!$AO$17</definedName>
    <definedName name="sch_sp_se_num_coordinatorssjhs_bocce_para">'[1]XI. Table 1'!$AO$41</definedName>
    <definedName name="sch_sp_se_num_coordinatorssjhs_boxing">'[1]XI. Table 1'!$AO$18</definedName>
    <definedName name="sch_sp_se_num_coordinatorssjhs_chess">'[1]XI. Table 1'!$AO$19</definedName>
    <definedName name="sch_sp_se_num_coordinatorssjhs_dancesports">'[1]XI. Table 1'!$AO$20</definedName>
    <definedName name="sch_sp_se_num_coordinatorssjhs_football">'[1]XI. Table 1'!$AO$21</definedName>
    <definedName name="sch_sp_se_num_coordinatorssjhs_futsal">'[1]XI. Table 1'!$AO$22</definedName>
    <definedName name="sch_sp_se_num_coordinatorssjhs_goalball_para">'[1]XI. Table 1'!$AO$40</definedName>
    <definedName name="sch_sp_se_num_coordinatorssjhs_mag">'[1]XI. Table 1'!$AO$24</definedName>
    <definedName name="sch_sp_se_num_coordinatorssjhs_othersports_para">'[1]XI. Table 1'!$AO$43</definedName>
    <definedName name="sch_sp_se_num_coordinatorssjhs_pencaksilat">'[1]XI. Table 1'!$AO$27</definedName>
    <definedName name="sch_sp_se_num_coordinatorssjhs_phgames_para">'[1]XI. Table 1'!$AO$42</definedName>
    <definedName name="sch_sp_se_num_coordinatorssjhs_rg">'[1]XI. Table 1'!$AO$26</definedName>
    <definedName name="sch_sp_se_num_coordinatorssjhs_sepaktakraw">'[1]XI. Table 1'!$AO$28</definedName>
    <definedName name="sch_sp_se_num_coordinatorssjhs_softball">'[1]XI. Table 1'!$AO$29</definedName>
    <definedName name="sch_sp_se_num_coordinatorssjhs_swimming">'[1]XI. Table 1'!$AO$30</definedName>
    <definedName name="sch_sp_se_num_coordinatorssjhs_swimming_para">'[1]XI. Table 1'!$AO$39</definedName>
    <definedName name="sch_sp_se_num_coordinatorssjhs_tabletennis">'[1]XI. Table 1'!$AO$31</definedName>
    <definedName name="sch_sp_se_num_coordinatorssjhs_taekwondo">'[1]XI. Table 1'!$AO$32</definedName>
    <definedName name="sch_sp_se_num_coordinatorssjhs_tennis">'[1]XI. Table 1'!$AO$33</definedName>
    <definedName name="sch_sp_se_num_coordinatorssjhs_volleyball">'[1]XI. Table 1'!$AO$34</definedName>
    <definedName name="sch_sp_se_num_coordinatorssjhs_wag">'[1]XI. Table 1'!$AO$25</definedName>
    <definedName name="sch_sp_se_num_coordinatorssjhs_weightlifting">'[1]XI. Table 1'!$AO$35</definedName>
    <definedName name="sch_sp_se_num_coordinatorssjhs_wrestling">'[1]XI. Table 1'!$AO$36</definedName>
    <definedName name="sch_sp_se_num_coordinatorssjhs_wushu">'[1]XI. Table 1'!$AO$37</definedName>
    <definedName name="sch_sp_se_num_facilitators_aerogymn">'[1]XI. Table 1'!$P$23</definedName>
    <definedName name="sch_sp_se_num_facilitators_arch">'[1]XI. Table 1'!$P$10</definedName>
    <definedName name="sch_sp_se_num_facilitators_arnis">'[1]XI. Table 1'!$P$11</definedName>
    <definedName name="sch_sp_se_num_facilitators_athleticsparagame">'[1]XI. Table 1'!$P$38</definedName>
    <definedName name="sch_sp_se_num_facilitators_athlthrow">'[1]XI. Table 1'!$P$12</definedName>
    <definedName name="sch_sp_se_num_facilitators_athltrun">'[1]XI. Table 1'!$P$13</definedName>
    <definedName name="sch_sp_se_num_facilitators_badm">'[1]XI. Table 1'!$P$14</definedName>
    <definedName name="sch_sp_se_num_facilitators_baseball">'[1]XI. Table 1'!$P$16</definedName>
    <definedName name="sch_sp_se_num_facilitators_basket">'[1]XI. Table 1'!$P$15</definedName>
    <definedName name="sch_sp_se_num_facilitators_billard">'[1]XI. Table 1'!$P$17</definedName>
    <definedName name="sch_sp_se_num_facilitators_bocce">'[1]XI. Table 1'!$P$41</definedName>
    <definedName name="sch_sp_se_num_facilitators_boxing">'[1]XI. Table 1'!$P$18</definedName>
    <definedName name="sch_sp_se_num_facilitators_chess">'[1]XI. Table 1'!$P$19</definedName>
    <definedName name="sch_sp_se_num_facilitators_dancesports">'[1]XI. Table 1'!$P$20</definedName>
    <definedName name="sch_sp_se_num_facilitators_football">'[1]XI. Table 1'!$P$21</definedName>
    <definedName name="sch_sp_se_num_facilitators_futsal">'[1]XI. Table 1'!$P$22</definedName>
    <definedName name="sch_sp_se_num_facilitators_goalball">'[1]XI. Table 1'!$P$40</definedName>
    <definedName name="sch_sp_se_num_facilitators_mag">'[1]XI. Table 1'!$P$24</definedName>
    <definedName name="sch_sp_se_num_facilitators_othersports">'[1]XI. Table 1'!$P$43</definedName>
    <definedName name="sch_sp_se_num_facilitators_pencak">'[1]XI. Table 1'!$P$27</definedName>
    <definedName name="sch_sp_se_num_facilitators_phgames">'[1]XI. Table 1'!$P$42</definedName>
    <definedName name="sch_sp_se_num_facilitators_rg">'[1]XI. Table 1'!$P$26</definedName>
    <definedName name="sch_sp_se_num_facilitators_sepaktakraw">'[1]XI. Table 1'!$P$28</definedName>
    <definedName name="sch_sp_se_num_facilitators_softball">'[1]XI. Table 1'!$P$29</definedName>
    <definedName name="sch_sp_se_num_facilitators_swimming">'[1]XI. Table 1'!$P$30</definedName>
    <definedName name="sch_sp_se_num_facilitators_swimmingparagame">'[1]XI. Table 1'!$P$39</definedName>
    <definedName name="sch_sp_se_num_facilitators_tabletennis">'[1]XI. Table 1'!$P$31</definedName>
    <definedName name="sch_sp_se_num_facilitators_taekwondo">'[1]XI. Table 1'!$P$32</definedName>
    <definedName name="sch_sp_se_num_facilitators_tennis">'[1]XI. Table 1'!$P$33</definedName>
    <definedName name="sch_sp_se_num_facilitators_volleyball">'[1]XI. Table 1'!$P$34</definedName>
    <definedName name="sch_sp_se_num_facilitators_wag">'[1]XI. Table 1'!$P$25</definedName>
    <definedName name="sch_sp_se_num_facilitators_weightlifting">'[1]XI. Table 1'!$P$35</definedName>
    <definedName name="sch_sp_se_num_facilitators_wrestling">'[1]XI. Table 1'!$P$36</definedName>
    <definedName name="sch_sp_se_num_facilitators_wushu">'[1]XI. Table 1'!$P$37</definedName>
    <definedName name="sch_sp_se_num_facilitatorsjhs_aerogymn">'[1]XI. Table 1'!$AJ$23</definedName>
    <definedName name="sch_sp_se_num_facilitatorsjhs_archery">'[1]XI. Table 1'!$AJ$10</definedName>
    <definedName name="sch_sp_se_num_facilitatorsjhs_arnis">'[1]XI. Table 1'!$AJ$11</definedName>
    <definedName name="sch_sp_se_num_facilitatorsjhs_athl_para">'[1]XI. Table 1'!$AJ$38</definedName>
    <definedName name="sch_sp_se_num_facilitatorsjhs_athlthrow">'[1]XI. Table 1'!$AJ$12</definedName>
    <definedName name="sch_sp_se_num_facilitatorsjhs_athltrun">'[1]XI. Table 1'!$AJ$13</definedName>
    <definedName name="sch_sp_se_num_facilitatorsjhs_badminton">'[1]XI. Table 1'!$AJ$14</definedName>
    <definedName name="sch_sp_se_num_facilitatorsjhs_baseball">'[1]XI. Table 1'!$AJ$16</definedName>
    <definedName name="sch_sp_se_num_facilitatorsjhs_basketball">'[1]XI. Table 1'!$AJ$15</definedName>
    <definedName name="sch_sp_se_num_facilitatorsjhs_billard">'[1]XI. Table 1'!$AJ$17</definedName>
    <definedName name="sch_sp_se_num_facilitatorsjhs_bocce_para">'[1]XI. Table 1'!$AJ$41</definedName>
    <definedName name="sch_sp_se_num_facilitatorsjhs_boxing">'[1]XI. Table 1'!$AJ$18</definedName>
    <definedName name="sch_sp_se_num_facilitatorsjhs_chess">'[1]XI. Table 1'!$AJ$19</definedName>
    <definedName name="sch_sp_se_num_facilitatorsjhs_dancesports">'[1]XI. Table 1'!$AJ$20</definedName>
    <definedName name="sch_sp_se_num_facilitatorsjhs_football">'[1]XI. Table 1'!$AJ$21</definedName>
    <definedName name="sch_sp_se_num_facilitatorsjhs_futsal">'[1]XI. Table 1'!$AJ$22</definedName>
    <definedName name="sch_sp_se_num_facilitatorsjhs_goalball_para">'[1]XI. Table 1'!$AJ$40</definedName>
    <definedName name="sch_sp_se_num_facilitatorsjhs_mag">'[1]XI. Table 1'!$AJ$24</definedName>
    <definedName name="sch_sp_se_num_facilitatorsjhs_othersports_para">'[1]XI. Table 1'!$AJ$43</definedName>
    <definedName name="sch_sp_se_num_facilitatorsjhs_pencaksilat">'[1]XI. Table 1'!$AJ$27</definedName>
    <definedName name="sch_sp_se_num_facilitatorsjhs_phgames_para">'[1]XI. Table 1'!$AJ$42</definedName>
    <definedName name="sch_sp_se_num_facilitatorsjhs_rg">'[1]XI. Table 1'!$AJ$26</definedName>
    <definedName name="sch_sp_se_num_facilitatorsjhs_sepaktakraw">'[1]XI. Table 1'!$AJ$28</definedName>
    <definedName name="sch_sp_se_num_facilitatorsjhs_softball">'[1]XI. Table 1'!$AJ$29</definedName>
    <definedName name="sch_sp_se_num_facilitatorsjhs_swimming">'[1]XI. Table 1'!$AJ$30</definedName>
    <definedName name="sch_sp_se_num_facilitatorsjhs_swimming_para">'[1]XI. Table 1'!$AJ$39</definedName>
    <definedName name="sch_sp_se_num_facilitatorsjhs_tabletennis">'[1]XI. Table 1'!$AJ$31</definedName>
    <definedName name="sch_sp_se_num_facilitatorsjhs_taekwondo">'[1]XI. Table 1'!$AJ$32</definedName>
    <definedName name="sch_sp_se_num_facilitatorsjhs_tennis">'[1]XI. Table 1'!$AJ$33</definedName>
    <definedName name="sch_sp_se_num_facilitatorsjhs_volleyball">'[1]XI. Table 1'!$AJ$34</definedName>
    <definedName name="sch_sp_se_num_facilitatorsjhs_wag">'[1]XI. Table 1'!$AJ$25</definedName>
    <definedName name="sch_sp_se_num_facilitatorsjhs_weightlifting">'[1]XI. Table 1'!$AJ$35</definedName>
    <definedName name="sch_sp_se_num_facilitatorsjhs_wrestling">'[1]XI. Table 1'!$AJ$36</definedName>
    <definedName name="sch_sp_se_num_facilitatorsjhs_wushu">'[1]XI. Table 1'!$AJ$37</definedName>
    <definedName name="sch_sp_se_num_facilitatorsshs_aerogymn">'[1]XI. Table 1'!$BD$23</definedName>
    <definedName name="sch_sp_se_num_facilitatorsshs_archery">'[1]XI. Table 1'!$BD$10</definedName>
    <definedName name="sch_sp_se_num_facilitatorsshs_arnis">'[1]XI. Table 1'!$BD$11</definedName>
    <definedName name="sch_sp_se_num_facilitatorsshs_athl_para">'[1]XI. Table 1'!$BD$38</definedName>
    <definedName name="sch_sp_se_num_facilitatorsshs_athlthrow">'[1]XI. Table 1'!$BD$12</definedName>
    <definedName name="sch_sp_se_num_facilitatorsshs_athltrun">'[1]XI. Table 1'!$BD$13</definedName>
    <definedName name="sch_sp_se_num_facilitatorsshs_badminton">'[1]XI. Table 1'!$BD$14</definedName>
    <definedName name="sch_sp_se_num_facilitatorsshs_baseball">'[1]XI. Table 1'!$BD$16</definedName>
    <definedName name="sch_sp_se_num_facilitatorsshs_basketball">'[1]XI. Table 1'!$BD$15</definedName>
    <definedName name="sch_sp_se_num_facilitatorsshs_billard">'[1]XI. Table 1'!$BD$17</definedName>
    <definedName name="sch_sp_se_num_facilitatorsshs_bocce_para">'[1]XI. Table 1'!$BD$41</definedName>
    <definedName name="sch_sp_se_num_facilitatorsshs_boxing">'[1]XI. Table 1'!$BD$18</definedName>
    <definedName name="sch_sp_se_num_facilitatorsshs_chess">'[1]XI. Table 1'!$BD$19</definedName>
    <definedName name="sch_sp_se_num_facilitatorsshs_dancesports">'[1]XI. Table 1'!$BD$20</definedName>
    <definedName name="sch_sp_se_num_facilitatorsshs_football">'[1]XI. Table 1'!$BD$21</definedName>
    <definedName name="sch_sp_se_num_facilitatorsshs_futsal">'[1]XI. Table 1'!$BD$22</definedName>
    <definedName name="sch_sp_se_num_facilitatorsshs_goalball_para">'[1]XI. Table 1'!$BD$40</definedName>
    <definedName name="sch_sp_se_num_facilitatorsshs_mag">'[1]XI. Table 1'!$BD$24</definedName>
    <definedName name="sch_sp_se_num_facilitatorsshs_othersports_para">'[1]XI. Table 1'!$BD$43</definedName>
    <definedName name="sch_sp_se_num_facilitatorsshs_pencaksilat">'[1]XI. Table 1'!$BD$27</definedName>
    <definedName name="sch_sp_se_num_facilitatorsshs_phgames_para">'[1]XI. Table 1'!$BD$42</definedName>
    <definedName name="sch_sp_se_num_facilitatorsshs_rg">'[1]XI. Table 1'!$BD$26</definedName>
    <definedName name="sch_sp_se_num_facilitatorsshs_sepaktakraw">'[1]XI. Table 1'!$BD$28</definedName>
    <definedName name="sch_sp_se_num_facilitatorsshs_softball">'[1]XI. Table 1'!$BD$29</definedName>
    <definedName name="sch_sp_se_num_facilitatorsshs_swimming">'[1]XI. Table 1'!$BD$30</definedName>
    <definedName name="sch_sp_se_num_facilitatorsshs_swimming_para">'[1]XI. Table 1'!$BD$39</definedName>
    <definedName name="sch_sp_se_num_facilitatorsshs_tabletennis">'[1]XI. Table 1'!$BD$31</definedName>
    <definedName name="sch_sp_se_num_facilitatorsshs_taekwondo">'[1]XI. Table 1'!$BD$32</definedName>
    <definedName name="sch_sp_se_num_facilitatorsshs_tennis">'[1]XI. Table 1'!$BD$33</definedName>
    <definedName name="sch_sp_se_num_facilitatorsshs_volleyball">'[1]XI. Table 1'!$BD$34</definedName>
    <definedName name="sch_sp_se_num_facilitatorsshs_wag">'[1]XI. Table 1'!$BD$25</definedName>
    <definedName name="sch_sp_se_num_facilitatorsshs_weightlifting">'[1]XI. Table 1'!$BD$35</definedName>
    <definedName name="sch_sp_se_num_facilitatorsshs_wrestling">'[1]XI. Table 1'!$BD$36</definedName>
    <definedName name="sch_sp_se_num_facilitatorsshs_wushu">'[1]XI. Table 1'!$BD$37</definedName>
    <definedName name="sch_sp_se_num_g1_aerogymn_f">'[1]XI. Table 2'!$T$22</definedName>
    <definedName name="sch_sp_se_num_g1_aerogymn_ip">'[1]XI. Table 2'!$V$22</definedName>
    <definedName name="sch_sp_se_num_g1_aerogymn_lwd">'[1]XI. Table 2'!$X$22</definedName>
    <definedName name="sch_sp_se_num_g1_aerogymn_m">'[1]XI. Table 2'!$R$22</definedName>
    <definedName name="sch_sp_se_num_g1_archery_f">'[1]XI. Table 2'!$T$9</definedName>
    <definedName name="sch_sp_se_num_g1_archery_ip">'[1]XI. Table 2'!$V$9</definedName>
    <definedName name="sch_sp_se_num_g1_archery_lwd">'[1]XI. Table 2'!$X$9</definedName>
    <definedName name="sch_sp_se_num_g1_archery_m">'[1]XI. Table 2'!$R$9</definedName>
    <definedName name="sch_sp_se_num_g1_arnis_f">'[1]XI. Table 2'!$T$10</definedName>
    <definedName name="sch_sp_se_num_g1_arnis_ip">'[1]XI. Table 2'!$V$10</definedName>
    <definedName name="sch_sp_se_num_g1_arnis_lwd">'[1]XI. Table 2'!$X$10</definedName>
    <definedName name="sch_sp_se_num_g1_arnis_m">'[1]XI. Table 2'!$R$10</definedName>
    <definedName name="sch_sp_se_num_g1_athleticsparagame_f">'[1]XI. Table 2'!$T$37</definedName>
    <definedName name="sch_sp_se_num_g1_athleticsparagame_ip">'[1]XI. Table 2'!$V$37</definedName>
    <definedName name="sch_sp_se_num_g1_athleticsparagame_lwd">'[1]XI. Table 2'!$X$37</definedName>
    <definedName name="sch_sp_se_num_g1_athleticsparagame_m">'[1]XI. Table 2'!$R$37</definedName>
    <definedName name="sch_sp_se_num_g1_athlthrow_f">'[1]XI. Table 2'!$T$11</definedName>
    <definedName name="sch_sp_se_num_g1_athlthrow_ip">'[1]XI. Table 2'!$V$11</definedName>
    <definedName name="sch_sp_se_num_g1_athlthrow_lwd">'[1]XI. Table 2'!$X$11</definedName>
    <definedName name="sch_sp_se_num_g1_athlthrow_m">'[1]XI. Table 2'!$R$11</definedName>
    <definedName name="sch_sp_se_num_g1_athltrun_f">'[1]XI. Table 2'!$T$12</definedName>
    <definedName name="sch_sp_se_num_g1_athltrun_ip">'[1]XI. Table 2'!$V$12</definedName>
    <definedName name="sch_sp_se_num_g1_athltrun_lwd">'[1]XI. Table 2'!$X$12</definedName>
    <definedName name="sch_sp_se_num_g1_athltrun_m">'[1]XI. Table 2'!$R$12</definedName>
    <definedName name="sch_sp_se_num_g1_badminton_f">'[1]XI. Table 2'!$T$13</definedName>
    <definedName name="sch_sp_se_num_g1_badminton_ip">'[1]XI. Table 2'!$V$13</definedName>
    <definedName name="sch_sp_se_num_g1_badminton_lwd">'[1]XI. Table 2'!$X$13</definedName>
    <definedName name="sch_sp_se_num_g1_badminton_m">'[1]XI. Table 2'!$R$13</definedName>
    <definedName name="sch_sp_se_num_g1_baseball_f">'[1]XI. Table 2'!$T$15</definedName>
    <definedName name="sch_sp_se_num_g1_baseball_ip">'[1]XI. Table 2'!$V$15</definedName>
    <definedName name="sch_sp_se_num_g1_baseball_lwd">'[1]XI. Table 2'!$X$15</definedName>
    <definedName name="sch_sp_se_num_g1_baseball_m">'[1]XI. Table 2'!$R$15</definedName>
    <definedName name="sch_sp_se_num_g1_basketball_f">'[1]XI. Table 2'!$T$14</definedName>
    <definedName name="sch_sp_se_num_g1_basketball_ip">'[1]XI. Table 2'!$V$14</definedName>
    <definedName name="sch_sp_se_num_g1_basketball_lwd">'[1]XI. Table 2'!$X$14</definedName>
    <definedName name="sch_sp_se_num_g1_basketball_m">'[1]XI. Table 2'!$R$14</definedName>
    <definedName name="sch_sp_se_num_g1_billiards_f">'[1]XI. Table 2'!$T$16</definedName>
    <definedName name="sch_sp_se_num_g1_billiards_ip">'[1]XI. Table 2'!$V$16</definedName>
    <definedName name="sch_sp_se_num_g1_billiards_lwd">'[1]XI. Table 2'!$X$16</definedName>
    <definedName name="sch_sp_se_num_g1_billiards_m">'[1]XI. Table 2'!$R$16</definedName>
    <definedName name="sch_sp_se_num_g1_bocce_f">'[1]XI. Table 2'!$T$40</definedName>
    <definedName name="sch_sp_se_num_g1_bocce_ip">'[1]XI. Table 2'!$V$40</definedName>
    <definedName name="sch_sp_se_num_g1_bocce_lwd">'[1]XI. Table 2'!$X$40</definedName>
    <definedName name="sch_sp_se_num_g1_bocce_m">'[1]XI. Table 2'!$R$40</definedName>
    <definedName name="sch_sp_se_num_g1_boxing_f">'[1]XI. Table 2'!$T$17</definedName>
    <definedName name="sch_sp_se_num_g1_boxing_ip">'[1]XI. Table 2'!$V$17</definedName>
    <definedName name="sch_sp_se_num_g1_boxing_lwd">'[1]XI. Table 2'!$X$17</definedName>
    <definedName name="sch_sp_se_num_g1_boxing_m">'[1]XI. Table 2'!$R$17</definedName>
    <definedName name="sch_sp_se_num_g1_chess_f">'[1]XI. Table 2'!$T$18</definedName>
    <definedName name="sch_sp_se_num_g1_chess_ip">'[1]XI. Table 2'!$V$18</definedName>
    <definedName name="sch_sp_se_num_g1_chess_lwd">'[1]XI. Table 2'!$X$18</definedName>
    <definedName name="sch_sp_se_num_g1_chess_m">'[1]XI. Table 2'!$R$18</definedName>
    <definedName name="sch_sp_se_num_g1_dancesports_f">'[1]XI. Table 2'!$T$19</definedName>
    <definedName name="sch_sp_se_num_g1_dancesports_ip">'[1]XI. Table 2'!$V$19</definedName>
    <definedName name="sch_sp_se_num_g1_dancesports_lwd">'[1]XI. Table 2'!$X$19</definedName>
    <definedName name="sch_sp_se_num_g1_dancesports_m">'[1]XI. Table 2'!$R$19</definedName>
    <definedName name="sch_sp_se_num_g1_football_f">'[1]XI. Table 2'!$T$20</definedName>
    <definedName name="sch_sp_se_num_g1_football_ip">'[1]XI. Table 2'!$V$20</definedName>
    <definedName name="sch_sp_se_num_g1_football_lwd">'[1]XI. Table 2'!$X$20</definedName>
    <definedName name="sch_sp_se_num_g1_football_m">'[1]XI. Table 2'!$R$20</definedName>
    <definedName name="sch_sp_se_num_g1_futsal_f">'[1]XI. Table 2'!$T$21</definedName>
    <definedName name="sch_sp_se_num_g1_futsal_ip">'[1]XI. Table 2'!$V$21</definedName>
    <definedName name="sch_sp_se_num_g1_futsal_lwd">'[1]XI. Table 2'!$X$21</definedName>
    <definedName name="sch_sp_se_num_g1_futsal_m">'[1]XI. Table 2'!$R$21</definedName>
    <definedName name="sch_sp_se_num_g1_goalball_f">'[1]XI. Table 2'!$T$39</definedName>
    <definedName name="sch_sp_se_num_g1_goalball_ip">'[1]XI. Table 2'!$V$39</definedName>
    <definedName name="sch_sp_se_num_g1_goalball_lwd">'[1]XI. Table 2'!$X$39</definedName>
    <definedName name="sch_sp_se_num_g1_goalball_m">'[1]XI. Table 2'!$R$39</definedName>
    <definedName name="sch_sp_se_num_g1_mag_f">'[1]XI. Table 2'!$T$23</definedName>
    <definedName name="sch_sp_se_num_g1_mag_ip">'[1]XI. Table 2'!$V$23</definedName>
    <definedName name="sch_sp_se_num_g1_mag_lwd">'[1]XI. Table 2'!$X$23</definedName>
    <definedName name="sch_sp_se_num_g1_mag_m">'[1]XI. Table 2'!$R$23</definedName>
    <definedName name="sch_sp_se_num_g1_othersports_f">'[1]XI. Table 2'!$T$43</definedName>
    <definedName name="sch_sp_se_num_g1_othersports_ip">'[1]XI. Table 2'!$V$43</definedName>
    <definedName name="sch_sp_se_num_g1_othersports_lwd">'[1]XI. Table 2'!$X$43</definedName>
    <definedName name="sch_sp_se_num_g1_othersports_m">'[1]XI. Table 2'!$R$43</definedName>
    <definedName name="sch_sp_se_num_g1_pencak_f">'[1]XI. Table 2'!$T$26</definedName>
    <definedName name="sch_sp_se_num_g1_pencak_ip">'[1]XI. Table 2'!$V$26</definedName>
    <definedName name="sch_sp_se_num_g1_pencak_lwd">'[1]XI. Table 2'!$X$26</definedName>
    <definedName name="sch_sp_se_num_g1_pencak_m">'[1]XI. Table 2'!$R$26</definedName>
    <definedName name="sch_sp_se_num_g1_phgames_f">'[1]XI. Table 2'!$T$41</definedName>
    <definedName name="sch_sp_se_num_g1_phgames_ip">'[1]XI. Table 2'!$V$41</definedName>
    <definedName name="sch_sp_se_num_g1_phgames_lwd">'[1]XI. Table 2'!$X$41</definedName>
    <definedName name="sch_sp_se_num_g1_phgames_m">'[1]XI. Table 2'!$R$41</definedName>
    <definedName name="sch_sp_se_num_g1_rg_f">'[1]XI. Table 2'!$T$25</definedName>
    <definedName name="sch_sp_se_num_g1_rg_ip">'[1]XI. Table 2'!$V$25</definedName>
    <definedName name="sch_sp_se_num_g1_rg_lwd">'[1]XI. Table 2'!$X$25</definedName>
    <definedName name="sch_sp_se_num_g1_rg_m">'[1]XI. Table 2'!$R$25</definedName>
    <definedName name="sch_sp_se_num_g1_sepaktakraw_f">'[1]XI. Table 2'!$T$27</definedName>
    <definedName name="sch_sp_se_num_g1_sepaktakraw_ip">'[1]XI. Table 2'!$V$27</definedName>
    <definedName name="sch_sp_se_num_g1_sepaktakraw_lwd">'[1]XI. Table 2'!$X$27</definedName>
    <definedName name="sch_sp_se_num_g1_sepaktakraw_m">'[1]XI. Table 2'!$R$27</definedName>
    <definedName name="sch_sp_se_num_g1_softball_f">'[1]XI. Table 2'!$T$28</definedName>
    <definedName name="sch_sp_se_num_g1_softball_ip">'[1]XI. Table 2'!$V$28</definedName>
    <definedName name="sch_sp_se_num_g1_softball_lwd">'[1]XI. Table 2'!$X$28</definedName>
    <definedName name="sch_sp_se_num_g1_softball_m">'[1]XI. Table 2'!$R$28</definedName>
    <definedName name="sch_sp_se_num_g1_swimming_f">'[1]XI. Table 2'!$T$29</definedName>
    <definedName name="sch_sp_se_num_g1_swimming_ip">'[1]XI. Table 2'!$V$29</definedName>
    <definedName name="sch_sp_se_num_g1_swimming_lwd">'[1]XI. Table 2'!$X$29</definedName>
    <definedName name="sch_sp_se_num_g1_swimming_m">'[1]XI. Table 2'!$R$29</definedName>
    <definedName name="sch_sp_se_num_g1_swimmingparagame_f">'[1]XI. Table 2'!$T$38</definedName>
    <definedName name="sch_sp_se_num_g1_swimmingparagame_ip">'[1]XI. Table 2'!$V$38</definedName>
    <definedName name="sch_sp_se_num_g1_swimmingparagame_lwd">'[1]XI. Table 2'!$X$38</definedName>
    <definedName name="sch_sp_se_num_g1_swimmingparagame_m">'[1]XI. Table 2'!$R$38</definedName>
    <definedName name="sch_sp_se_num_g1_tabletennis_f">'[1]XI. Table 2'!$T$30</definedName>
    <definedName name="sch_sp_se_num_g1_tabletennis_ip">'[1]XI. Table 2'!$V$30</definedName>
    <definedName name="sch_sp_se_num_g1_tabletennis_lwd">'[1]XI. Table 2'!$X$30</definedName>
    <definedName name="sch_sp_se_num_g1_tabletennis_m">'[1]XI. Table 2'!$R$30</definedName>
    <definedName name="sch_sp_se_num_g1_taekwondo_f">'[1]XI. Table 2'!$T$31</definedName>
    <definedName name="sch_sp_se_num_g1_taekwondo_ip">'[1]XI. Table 2'!$V$31</definedName>
    <definedName name="sch_sp_se_num_g1_taekwondo_lwd">'[1]XI. Table 2'!$X$31</definedName>
    <definedName name="sch_sp_se_num_g1_taekwondo_m">'[1]XI. Table 2'!$R$31</definedName>
    <definedName name="sch_sp_se_num_g1_tennis_f">'[1]XI. Table 2'!$T$32</definedName>
    <definedName name="sch_sp_se_num_g1_tennis_ip">'[1]XI. Table 2'!$V$32</definedName>
    <definedName name="sch_sp_se_num_g1_tennis_lwd">'[1]XI. Table 2'!$X$32</definedName>
    <definedName name="sch_sp_se_num_g1_tennis_m">'[1]XI. Table 2'!$R$32</definedName>
    <definedName name="sch_sp_se_num_g1_volleyball_f">'[1]XI. Table 2'!$T$33</definedName>
    <definedName name="sch_sp_se_num_g1_volleyball_ip">'[1]XI. Table 2'!$V$33</definedName>
    <definedName name="sch_sp_se_num_g1_volleyball_lwd">'[1]XI. Table 2'!$X$33</definedName>
    <definedName name="sch_sp_se_num_g1_volleyball_m">'[1]XI. Table 2'!$R$33</definedName>
    <definedName name="sch_sp_se_num_g1_wag_f">'[1]XI. Table 2'!$T$24</definedName>
    <definedName name="sch_sp_se_num_g1_wag_ip">'[1]XI. Table 2'!$V$24</definedName>
    <definedName name="sch_sp_se_num_g1_wag_lwd">'[1]XI. Table 2'!$X$24</definedName>
    <definedName name="sch_sp_se_num_g1_wag_m">'[1]XI. Table 2'!$R$24</definedName>
    <definedName name="sch_sp_se_num_g1_weightlifting_f">'[1]XI. Table 2'!$T$34</definedName>
    <definedName name="sch_sp_se_num_g1_weightlifting_ip">'[1]XI. Table 2'!$V$34</definedName>
    <definedName name="sch_sp_se_num_g1_weightlifting_lwd">'[1]XI. Table 2'!$X$34</definedName>
    <definedName name="sch_sp_se_num_g1_weightlifting_m">'[1]XI. Table 2'!$R$34</definedName>
    <definedName name="sch_sp_se_num_g1_wrestling_f">'[1]XI. Table 2'!$T$35</definedName>
    <definedName name="sch_sp_se_num_g1_wrestling_ip">'[1]XI. Table 2'!$V$35</definedName>
    <definedName name="sch_sp_se_num_g1_wrestling_lwd">'[1]XI. Table 2'!$X$35</definedName>
    <definedName name="sch_sp_se_num_g1_wrestling_m">'[1]XI. Table 2'!$R$35</definedName>
    <definedName name="sch_sp_se_num_g1_wushu_f">'[1]XI. Table 2'!$T$36</definedName>
    <definedName name="sch_sp_se_num_g1_wushu_ip">'[1]XI. Table 2'!$V$36</definedName>
    <definedName name="sch_sp_se_num_g1_wushu_lwd">'[1]XI. Table 2'!$X$36</definedName>
    <definedName name="sch_sp_se_num_g1_wushu_m">'[1]XI. Table 2'!$R$36</definedName>
    <definedName name="sch_sp_se_num_g10_aerogymn_f">'[1]XI. Table 2 (cont.)'!$AR$23</definedName>
    <definedName name="sch_sp_se_num_g10_aerogymn_ip">'[1]XI. Table 2 (cont.)'!$AT$23</definedName>
    <definedName name="sch_sp_se_num_g10_aerogymn_lwd">'[1]XI. Table 2 (cont.)'!$AV$23</definedName>
    <definedName name="sch_sp_se_num_g10_aerogymn_m">'[1]XI. Table 2 (cont.)'!$AP$23</definedName>
    <definedName name="sch_sp_se_num_g10_archery_f">'[1]XI. Table 2 (cont.)'!$AR$10</definedName>
    <definedName name="sch_sp_se_num_g10_archery_ip">'[1]XI. Table 2 (cont.)'!$AT$10</definedName>
    <definedName name="sch_sp_se_num_g10_archery_lwd">'[1]XI. Table 2 (cont.)'!$AV$10</definedName>
    <definedName name="sch_sp_se_num_g10_archery_m">'[1]XI. Table 2 (cont.)'!$AP$10</definedName>
    <definedName name="sch_sp_se_num_g10_arnis_f">'[1]XI. Table 2 (cont.)'!$AR$11</definedName>
    <definedName name="sch_sp_se_num_g10_arnis_ip">'[1]XI. Table 2 (cont.)'!$AT$11</definedName>
    <definedName name="sch_sp_se_num_g10_arnis_lwd">'[1]XI. Table 2 (cont.)'!$AV$11</definedName>
    <definedName name="sch_sp_se_num_g10_arnis_m">'[1]XI. Table 2 (cont.)'!$AP$11</definedName>
    <definedName name="sch_sp_se_num_g10_athleticsparagame_f">'[1]XI. Table 2 (cont.)'!$AR$38</definedName>
    <definedName name="sch_sp_se_num_g10_athleticsparagame_ip">'[1]XI. Table 2 (cont.)'!$AT$38</definedName>
    <definedName name="sch_sp_se_num_g10_athleticsparagame_lwd">'[1]XI. Table 2 (cont.)'!$AV$38</definedName>
    <definedName name="sch_sp_se_num_g10_athleticsparagame_m">'[1]XI. Table 2 (cont.)'!$AP$38</definedName>
    <definedName name="sch_sp_se_num_g10_athlthrow_f">'[1]XI. Table 2 (cont.)'!$AR$12</definedName>
    <definedName name="sch_sp_se_num_g10_athlthrow_ip">'[1]XI. Table 2 (cont.)'!$AT$12</definedName>
    <definedName name="sch_sp_se_num_g10_athlthrow_lwd">'[1]XI. Table 2 (cont.)'!$AV$12</definedName>
    <definedName name="sch_sp_se_num_g10_athlthrow_m">'[1]XI. Table 2 (cont.)'!$AP$12</definedName>
    <definedName name="sch_sp_se_num_g10_athltrun_f">'[1]XI. Table 2 (cont.)'!$AR$13</definedName>
    <definedName name="sch_sp_se_num_g10_athltrun_ip">'[1]XI. Table 2 (cont.)'!$AT$13</definedName>
    <definedName name="sch_sp_se_num_g10_athltrun_lwd">'[1]XI. Table 2 (cont.)'!$AV$13</definedName>
    <definedName name="sch_sp_se_num_g10_athltrun_m">'[1]XI. Table 2 (cont.)'!$AP$13</definedName>
    <definedName name="sch_sp_se_num_g10_badminton_f">'[1]XI. Table 2 (cont.)'!$AR$14</definedName>
    <definedName name="sch_sp_se_num_g10_badminton_ip">'[1]XI. Table 2 (cont.)'!$AT$14</definedName>
    <definedName name="sch_sp_se_num_g10_badminton_lwd">'[1]XI. Table 2 (cont.)'!$AV$14</definedName>
    <definedName name="sch_sp_se_num_g10_badminton_m">'[1]XI. Table 2 (cont.)'!$AP$14</definedName>
    <definedName name="sch_sp_se_num_g10_baseball_f">'[1]XI. Table 2 (cont.)'!$AR$16</definedName>
    <definedName name="sch_sp_se_num_g10_baseball_ip">'[1]XI. Table 2 (cont.)'!$AT$16</definedName>
    <definedName name="sch_sp_se_num_g10_baseball_lwd">'[1]XI. Table 2 (cont.)'!$AV$16</definedName>
    <definedName name="sch_sp_se_num_g10_baseball_m">'[1]XI. Table 2 (cont.)'!$AP$16</definedName>
    <definedName name="sch_sp_se_num_g10_basketball_f">'[1]XI. Table 2 (cont.)'!$AR$15</definedName>
    <definedName name="sch_sp_se_num_g10_basketball_ip">'[1]XI. Table 2 (cont.)'!$AT$15</definedName>
    <definedName name="sch_sp_se_num_g10_basketball_lwd">'[1]XI. Table 2 (cont.)'!$AV$15</definedName>
    <definedName name="sch_sp_se_num_g10_basketball_m">'[1]XI. Table 2 (cont.)'!$AP$15</definedName>
    <definedName name="sch_sp_se_num_g10_billiards_f">'[1]XI. Table 2 (cont.)'!$AR$17</definedName>
    <definedName name="sch_sp_se_num_g10_billiards_ip">'[1]XI. Table 2 (cont.)'!$AT$17</definedName>
    <definedName name="sch_sp_se_num_g10_billiards_lwd">'[1]XI. Table 2 (cont.)'!$AV$17</definedName>
    <definedName name="sch_sp_se_num_g10_billiards_m">'[1]XI. Table 2 (cont.)'!$AP$17</definedName>
    <definedName name="sch_sp_se_num_g10_bocce_f">'[1]XI. Table 2 (cont.)'!$AR$41</definedName>
    <definedName name="sch_sp_se_num_g10_bocce_ip">'[1]XI. Table 2 (cont.)'!$AT$41</definedName>
    <definedName name="sch_sp_se_num_g10_bocce_lwd">'[1]XI. Table 2 (cont.)'!$AV$41</definedName>
    <definedName name="sch_sp_se_num_g10_bocce_m">'[1]XI. Table 2 (cont.)'!$AP$41</definedName>
    <definedName name="sch_sp_se_num_g10_boxing_f">'[1]XI. Table 2 (cont.)'!$AR$18</definedName>
    <definedName name="sch_sp_se_num_g10_boxing_ip">'[1]XI. Table 2 (cont.)'!$AT$18</definedName>
    <definedName name="sch_sp_se_num_g10_boxing_lwd">'[1]XI. Table 2 (cont.)'!$AV$18</definedName>
    <definedName name="sch_sp_se_num_g10_boxing_m">'[1]XI. Table 2 (cont.)'!$AP$18</definedName>
    <definedName name="sch_sp_se_num_g10_chess_f">'[1]XI. Table 2 (cont.)'!$AR$19</definedName>
    <definedName name="sch_sp_se_num_g10_chess_ip">'[1]XI. Table 2 (cont.)'!$AT$19</definedName>
    <definedName name="sch_sp_se_num_g10_chess_lwd">'[1]XI. Table 2 (cont.)'!$AV$19</definedName>
    <definedName name="sch_sp_se_num_g10_chess_m">'[1]XI. Table 2 (cont.)'!$AP$19</definedName>
    <definedName name="sch_sp_se_num_g10_dancesports_f">'[1]XI. Table 2 (cont.)'!$AR$20</definedName>
    <definedName name="sch_sp_se_num_g10_dancesports_ip">'[1]XI. Table 2 (cont.)'!$AT$20</definedName>
    <definedName name="sch_sp_se_num_g10_dancesports_lwd">'[1]XI. Table 2 (cont.)'!$AV$20</definedName>
    <definedName name="sch_sp_se_num_g10_dancesports_m">'[1]XI. Table 2 (cont.)'!$AP$20</definedName>
    <definedName name="sch_sp_se_num_g10_football_f">'[1]XI. Table 2 (cont.)'!$AR$21</definedName>
    <definedName name="sch_sp_se_num_g10_football_ip">'[1]XI. Table 2 (cont.)'!$AT$21</definedName>
    <definedName name="sch_sp_se_num_g10_football_lwd">'[1]XI. Table 2 (cont.)'!$AV$21</definedName>
    <definedName name="sch_sp_se_num_g10_football_m">'[1]XI. Table 2 (cont.)'!$AP$21</definedName>
    <definedName name="sch_sp_se_num_g10_futsal_f">'[1]XI. Table 2 (cont.)'!$AR$22</definedName>
    <definedName name="sch_sp_se_num_g10_futsal_ip">'[1]XI. Table 2 (cont.)'!$AT$22</definedName>
    <definedName name="sch_sp_se_num_g10_futsal_lwd">'[1]XI. Table 2 (cont.)'!$AV$22</definedName>
    <definedName name="sch_sp_se_num_g10_futsal_m">'[1]XI. Table 2 (cont.)'!$AP$22</definedName>
    <definedName name="sch_sp_se_num_g10_goalball_f">'[1]XI. Table 2 (cont.)'!$AR$40</definedName>
    <definedName name="sch_sp_se_num_g10_goalball_ip">'[1]XI. Table 2 (cont.)'!$AT$40</definedName>
    <definedName name="sch_sp_se_num_g10_goalball_lwd">'[1]XI. Table 2 (cont.)'!$AV$40</definedName>
    <definedName name="sch_sp_se_num_g10_goalball_m">'[1]XI. Table 2 (cont.)'!$AP$40</definedName>
    <definedName name="sch_sp_se_num_g10_mag_f">'[1]XI. Table 2 (cont.)'!$AR$24</definedName>
    <definedName name="sch_sp_se_num_g10_mag_ip">'[1]XI. Table 2 (cont.)'!$AT$24</definedName>
    <definedName name="sch_sp_se_num_g10_mag_lwd">'[1]XI. Table 2 (cont.)'!$AV$24</definedName>
    <definedName name="sch_sp_se_num_g10_mag_m">'[1]XI. Table 2 (cont.)'!$AP$24</definedName>
    <definedName name="sch_sp_se_num_g10_othersports_f">'[1]XI. Table 2 (cont.)'!$AR$44</definedName>
    <definedName name="sch_sp_se_num_g10_othersports_ip">'[1]XI. Table 2 (cont.)'!$AT$44</definedName>
    <definedName name="sch_sp_se_num_g10_othersports_lwd">'[1]XI. Table 2 (cont.)'!$AV$44</definedName>
    <definedName name="sch_sp_se_num_g10_othersports_m">'[1]XI. Table 2 (cont.)'!$AP$44</definedName>
    <definedName name="sch_sp_se_num_g10_pencak_f">'[1]XI. Table 2 (cont.)'!$AR$27</definedName>
    <definedName name="sch_sp_se_num_g10_pencak_ip">'[1]XI. Table 2 (cont.)'!$AT$27</definedName>
    <definedName name="sch_sp_se_num_g10_pencak_lwd">'[1]XI. Table 2 (cont.)'!$AV$27</definedName>
    <definedName name="sch_sp_se_num_g10_pencak_m">'[1]XI. Table 2 (cont.)'!$AP$27</definedName>
    <definedName name="sch_sp_se_num_g10_phgames_f">'[1]XI. Table 2 (cont.)'!$AR$42</definedName>
    <definedName name="sch_sp_se_num_g10_phgames_ip">'[1]XI. Table 2 (cont.)'!$AT$42</definedName>
    <definedName name="sch_sp_se_num_g10_phgames_lwd">'[1]XI. Table 2 (cont.)'!$AV$42</definedName>
    <definedName name="sch_sp_se_num_g10_phgames_m">'[1]XI. Table 2 (cont.)'!$AP$42</definedName>
    <definedName name="sch_sp_se_num_g10_rg_f">'[1]XI. Table 2 (cont.)'!$AR$26</definedName>
    <definedName name="sch_sp_se_num_g10_rg_ip">'[1]XI. Table 2 (cont.)'!$AT$26</definedName>
    <definedName name="sch_sp_se_num_g10_rg_lwd">'[1]XI. Table 2 (cont.)'!$AV$26</definedName>
    <definedName name="sch_sp_se_num_g10_rg_m">'[1]XI. Table 2 (cont.)'!$AP$26</definedName>
    <definedName name="sch_sp_se_num_g10_sepaktakraw_f">'[1]XI. Table 2 (cont.)'!$AR$28</definedName>
    <definedName name="sch_sp_se_num_g10_sepaktakraw_ip">'[1]XI. Table 2 (cont.)'!$AT$28</definedName>
    <definedName name="sch_sp_se_num_g10_sepaktakraw_lwd">'[1]XI. Table 2 (cont.)'!$AV$28</definedName>
    <definedName name="sch_sp_se_num_g10_sepaktakraw_m">'[1]XI. Table 2 (cont.)'!$AP$28</definedName>
    <definedName name="sch_sp_se_num_g10_softball_f">'[1]XI. Table 2 (cont.)'!$AR$29</definedName>
    <definedName name="sch_sp_se_num_g10_softball_ip">'[1]XI. Table 2 (cont.)'!$AT$29</definedName>
    <definedName name="sch_sp_se_num_g10_softball_lwd">'[1]XI. Table 2 (cont.)'!$AV$29</definedName>
    <definedName name="sch_sp_se_num_g10_softball_m">'[1]XI. Table 2 (cont.)'!$AP$29</definedName>
    <definedName name="sch_sp_se_num_g10_swimming_f">'[1]XI. Table 2 (cont.)'!$AR$30</definedName>
    <definedName name="sch_sp_se_num_g10_swimming_ip">'[1]XI. Table 2 (cont.)'!$AT$30</definedName>
    <definedName name="sch_sp_se_num_g10_swimming_lwd">'[1]XI. Table 2 (cont.)'!$AV$30</definedName>
    <definedName name="sch_sp_se_num_g10_swimming_m">'[1]XI. Table 2 (cont.)'!$AP$30</definedName>
    <definedName name="sch_sp_se_num_g10_swimmingparagame_f">'[1]XI. Table 2 (cont.)'!$AR$39</definedName>
    <definedName name="sch_sp_se_num_g10_swimmingparagame_ip">'[1]XI. Table 2 (cont.)'!$AT$39</definedName>
    <definedName name="sch_sp_se_num_g10_swimmingparagame_lwd">'[1]XI. Table 2 (cont.)'!$AV$39</definedName>
    <definedName name="sch_sp_se_num_g10_swimmingparagame_m">'[1]XI. Table 2 (cont.)'!$AP$39</definedName>
    <definedName name="sch_sp_se_num_g10_tabletennis_f">'[1]XI. Table 2 (cont.)'!$AR$31</definedName>
    <definedName name="sch_sp_se_num_g10_tabletennis_ip">'[1]XI. Table 2 (cont.)'!$AT$31</definedName>
    <definedName name="sch_sp_se_num_g10_tabletennis_lwd">'[1]XI. Table 2 (cont.)'!$AV$31</definedName>
    <definedName name="sch_sp_se_num_g10_tabletennis_m">'[1]XI. Table 2 (cont.)'!$AP$31</definedName>
    <definedName name="sch_sp_se_num_g10_taekwondo_f">'[1]XI. Table 2 (cont.)'!$AR$32</definedName>
    <definedName name="sch_sp_se_num_g10_taekwondo_ip">'[1]XI. Table 2 (cont.)'!$AT$32</definedName>
    <definedName name="sch_sp_se_num_g10_taekwondo_lwd">'[1]XI. Table 2 (cont.)'!$AV$32</definedName>
    <definedName name="sch_sp_se_num_g10_taekwondo_m">'[1]XI. Table 2 (cont.)'!$AP$32</definedName>
    <definedName name="sch_sp_se_num_g10_tennis_f">'[1]XI. Table 2 (cont.)'!$AR$33</definedName>
    <definedName name="sch_sp_se_num_g10_tennis_ip">'[1]XI. Table 2 (cont.)'!$AT$33</definedName>
    <definedName name="sch_sp_se_num_g10_tennis_lwd">'[1]XI. Table 2 (cont.)'!$AV$33</definedName>
    <definedName name="sch_sp_se_num_g10_tennis_m">'[1]XI. Table 2 (cont.)'!$AP$33</definedName>
    <definedName name="sch_sp_se_num_g10_volleyball_f">'[1]XI. Table 2 (cont.)'!$AR$34</definedName>
    <definedName name="sch_sp_se_num_g10_volleyball_ip">'[1]XI. Table 2 (cont.)'!$AT$34</definedName>
    <definedName name="sch_sp_se_num_g10_volleyball_lwd">'[1]XI. Table 2 (cont.)'!$AV$34</definedName>
    <definedName name="sch_sp_se_num_g10_volleyball_m">'[1]XI. Table 2 (cont.)'!$AP$34</definedName>
    <definedName name="sch_sp_se_num_g10_wag_f">'[1]XI. Table 2 (cont.)'!$AR$25</definedName>
    <definedName name="sch_sp_se_num_g10_wag_ip">'[1]XI. Table 2 (cont.)'!$AT$25</definedName>
    <definedName name="sch_sp_se_num_g10_wag_lwd">'[1]XI. Table 2 (cont.)'!$AV$25</definedName>
    <definedName name="sch_sp_se_num_g10_wag_m">'[1]XI. Table 2 (cont.)'!$AP$25</definedName>
    <definedName name="sch_sp_se_num_g10_weightlifting_f">'[1]XI. Table 2 (cont.)'!$AR$35</definedName>
    <definedName name="sch_sp_se_num_g10_weightlifting_ip">'[1]XI. Table 2 (cont.)'!$AT$35</definedName>
    <definedName name="sch_sp_se_num_g10_weightlifting_lwd">'[1]XI. Table 2 (cont.)'!$AV$35</definedName>
    <definedName name="sch_sp_se_num_g10_weightlifting_m">'[1]XI. Table 2 (cont.)'!$AP$35</definedName>
    <definedName name="sch_sp_se_num_g10_wrestling_f">'[1]XI. Table 2 (cont.)'!$AR$36</definedName>
    <definedName name="sch_sp_se_num_g10_wrestling_ip">'[1]XI. Table 2 (cont.)'!$AT$36</definedName>
    <definedName name="sch_sp_se_num_g10_wrestling_lwd">'[1]XI. Table 2 (cont.)'!$AV$36</definedName>
    <definedName name="sch_sp_se_num_g10_wrestling_m">'[1]XI. Table 2 (cont.)'!$AP$36</definedName>
    <definedName name="sch_sp_se_num_g10_wushu_f">'[1]XI. Table 2 (cont.)'!$AR$37</definedName>
    <definedName name="sch_sp_se_num_g10_wushu_ip">'[1]XI. Table 2 (cont.)'!$AT$37</definedName>
    <definedName name="sch_sp_se_num_g10_wushu_lwd">'[1]XI. Table 2 (cont.)'!$AV$37</definedName>
    <definedName name="sch_sp_se_num_g10_wushu_m">'[1]XI. Table 2 (cont.)'!$AP$37</definedName>
    <definedName name="sch_sp_se_num_g11_aerogymn_f">'[1]XI. Table 2 (cont.)'!$AZ$23</definedName>
    <definedName name="sch_sp_se_num_g11_aerogymn_ip">'[1]XI. Table 2 (cont.)'!$BB$23</definedName>
    <definedName name="sch_sp_se_num_g11_aerogymn_lwd">'[1]XI. Table 2 (cont.)'!$BD$23</definedName>
    <definedName name="sch_sp_se_num_g11_aerogymn_m">'[1]XI. Table 2 (cont.)'!$AX$23</definedName>
    <definedName name="sch_sp_se_num_g11_archery_f">'[1]XI. Table 2 (cont.)'!$AZ$10</definedName>
    <definedName name="sch_sp_se_num_g11_archery_ip">'[1]XI. Table 2 (cont.)'!$BB$10</definedName>
    <definedName name="sch_sp_se_num_g11_archery_lwd">'[1]XI. Table 2 (cont.)'!$BD$10</definedName>
    <definedName name="sch_sp_se_num_g11_archery_m">'[1]XI. Table 2 (cont.)'!$AX$10</definedName>
    <definedName name="sch_sp_se_num_g11_arnis_f">'[1]XI. Table 2 (cont.)'!$AZ$11</definedName>
    <definedName name="sch_sp_se_num_g11_arnis_ip">'[1]XI. Table 2 (cont.)'!$BB$11</definedName>
    <definedName name="sch_sp_se_num_g11_arnis_lwd">'[1]XI. Table 2 (cont.)'!$BD$11</definedName>
    <definedName name="sch_sp_se_num_g11_arnis_m">'[1]XI. Table 2 (cont.)'!$AX$11</definedName>
    <definedName name="sch_sp_se_num_g11_athleticsparagame_f">'[1]XI. Table 2 (cont.)'!$AZ$38</definedName>
    <definedName name="sch_sp_se_num_g11_athleticsparagame_ip">'[1]XI. Table 2 (cont.)'!$BB$38</definedName>
    <definedName name="sch_sp_se_num_g11_athleticsparagame_lwd">'[1]XI. Table 2 (cont.)'!$BD$38</definedName>
    <definedName name="sch_sp_se_num_g11_athleticsparagame_m">'[1]XI. Table 2 (cont.)'!$AX$38</definedName>
    <definedName name="sch_sp_se_num_g11_athlthrow_f">'[1]XI. Table 2 (cont.)'!$AZ$12</definedName>
    <definedName name="sch_sp_se_num_g11_athlthrow_ip">'[1]XI. Table 2 (cont.)'!$BB$12</definedName>
    <definedName name="sch_sp_se_num_g11_athlthrow_lwd">'[1]XI. Table 2 (cont.)'!$BD$12</definedName>
    <definedName name="sch_sp_se_num_g11_athlthrow_m">'[1]XI. Table 2 (cont.)'!$AX$12</definedName>
    <definedName name="sch_sp_se_num_g11_athltrun_f">'[1]XI. Table 2 (cont.)'!$AZ$13</definedName>
    <definedName name="sch_sp_se_num_g11_athltrun_ip">'[1]XI. Table 2 (cont.)'!$BB$13</definedName>
    <definedName name="sch_sp_se_num_g11_athltrun_lwd">'[1]XI. Table 2 (cont.)'!$BD$13</definedName>
    <definedName name="sch_sp_se_num_g11_athltrun_m">'[1]XI. Table 2 (cont.)'!$AX$13</definedName>
    <definedName name="sch_sp_se_num_g11_badminton_f">'[1]XI. Table 2 (cont.)'!$AZ$14</definedName>
    <definedName name="sch_sp_se_num_g11_badminton_ip">'[1]XI. Table 2 (cont.)'!$BB$14</definedName>
    <definedName name="sch_sp_se_num_g11_badminton_lwd">'[1]XI. Table 2 (cont.)'!$BD$14</definedName>
    <definedName name="sch_sp_se_num_g11_badminton_m">'[1]XI. Table 2 (cont.)'!$AX$14</definedName>
    <definedName name="sch_sp_se_num_g11_baseball_f">'[1]XI. Table 2 (cont.)'!$AZ$16</definedName>
    <definedName name="sch_sp_se_num_g11_baseball_ip">'[1]XI. Table 2 (cont.)'!$BB$16</definedName>
    <definedName name="sch_sp_se_num_g11_baseball_lwd">'[1]XI. Table 2 (cont.)'!$BD$16</definedName>
    <definedName name="sch_sp_se_num_g11_baseball_m">'[1]XI. Table 2 (cont.)'!$AX$16</definedName>
    <definedName name="sch_sp_se_num_g11_basketball_f">'[1]XI. Table 2 (cont.)'!$AZ$15</definedName>
    <definedName name="sch_sp_se_num_g11_basketball_ip">'[1]XI. Table 2 (cont.)'!$BB$15</definedName>
    <definedName name="sch_sp_se_num_g11_basketball_lwd">'[1]XI. Table 2 (cont.)'!$BD$15</definedName>
    <definedName name="sch_sp_se_num_g11_basketball_m">'[1]XI. Table 2 (cont.)'!$AX$15</definedName>
    <definedName name="sch_sp_se_num_g11_billiards_f">'[1]XI. Table 2 (cont.)'!$AZ$17</definedName>
    <definedName name="sch_sp_se_num_g11_billiards_ip">'[1]XI. Table 2 (cont.)'!$BB$17</definedName>
    <definedName name="sch_sp_se_num_g11_billiards_lwd">'[1]XI. Table 2 (cont.)'!$BD$17</definedName>
    <definedName name="sch_sp_se_num_g11_billiards_m">'[1]XI. Table 2 (cont.)'!$AX$17</definedName>
    <definedName name="sch_sp_se_num_g11_bocce_f">'[1]XI. Table 2 (cont.)'!$AZ$41</definedName>
    <definedName name="sch_sp_se_num_g11_bocce_ip">'[1]XI. Table 2 (cont.)'!$BB$41</definedName>
    <definedName name="sch_sp_se_num_g11_bocce_lwd">'[1]XI. Table 2 (cont.)'!$BD$41</definedName>
    <definedName name="sch_sp_se_num_g11_bocce_m">'[1]XI. Table 2 (cont.)'!$AX$41</definedName>
    <definedName name="sch_sp_se_num_g11_boxing_f">'[1]XI. Table 2 (cont.)'!$AZ$18</definedName>
    <definedName name="sch_sp_se_num_g11_boxing_ip">'[1]XI. Table 2 (cont.)'!$BB$18</definedName>
    <definedName name="sch_sp_se_num_g11_boxing_lwd">'[1]XI. Table 2 (cont.)'!$BD$18</definedName>
    <definedName name="sch_sp_se_num_g11_boxing_m">'[1]XI. Table 2 (cont.)'!$AX$18</definedName>
    <definedName name="sch_sp_se_num_g11_chess_f">'[1]XI. Table 2 (cont.)'!$AZ$19</definedName>
    <definedName name="sch_sp_se_num_g11_chess_ip">'[1]XI. Table 2 (cont.)'!$BB$19</definedName>
    <definedName name="sch_sp_se_num_g11_chess_lwd">'[1]XI. Table 2 (cont.)'!$BD$19</definedName>
    <definedName name="sch_sp_se_num_g11_chess_m">'[1]XI. Table 2 (cont.)'!$AX$19</definedName>
    <definedName name="sch_sp_se_num_g11_dancesports_f">'[1]XI. Table 2 (cont.)'!$AZ$20</definedName>
    <definedName name="sch_sp_se_num_g11_dancesports_ip">'[1]XI. Table 2 (cont.)'!$BB$20</definedName>
    <definedName name="sch_sp_se_num_g11_dancesports_lwd">'[1]XI. Table 2 (cont.)'!$BD$20</definedName>
    <definedName name="sch_sp_se_num_g11_dancesports_m">'[1]XI. Table 2 (cont.)'!$AX$20</definedName>
    <definedName name="sch_sp_se_num_g11_football_f">'[1]XI. Table 2 (cont.)'!$AZ$21</definedName>
    <definedName name="sch_sp_se_num_g11_football_ip">'[1]XI. Table 2 (cont.)'!$BB$21</definedName>
    <definedName name="sch_sp_se_num_g11_football_lwd">'[1]XI. Table 2 (cont.)'!$BD$21</definedName>
    <definedName name="sch_sp_se_num_g11_football_m">'[1]XI. Table 2 (cont.)'!$AX$21</definedName>
    <definedName name="sch_sp_se_num_g11_futsal_f">'[1]XI. Table 2 (cont.)'!$AZ$22</definedName>
    <definedName name="sch_sp_se_num_g11_futsal_ip">'[1]XI. Table 2 (cont.)'!$BB$22</definedName>
    <definedName name="sch_sp_se_num_g11_futsal_lwd">'[1]XI. Table 2 (cont.)'!$BD$22</definedName>
    <definedName name="sch_sp_se_num_g11_futsal_m">'[1]XI. Table 2 (cont.)'!$AX$22</definedName>
    <definedName name="sch_sp_se_num_g11_goalball_f">'[1]XI. Table 2 (cont.)'!$AZ$40</definedName>
    <definedName name="sch_sp_se_num_g11_goalball_ip">'[1]XI. Table 2 (cont.)'!$BB$40</definedName>
    <definedName name="sch_sp_se_num_g11_goalball_lwd">'[1]XI. Table 2 (cont.)'!$BD$40</definedName>
    <definedName name="sch_sp_se_num_g11_goalball_m">'[1]XI. Table 2 (cont.)'!$AX$40</definedName>
    <definedName name="sch_sp_se_num_g11_mag_f">'[1]XI. Table 2 (cont.)'!$AZ$24</definedName>
    <definedName name="sch_sp_se_num_g11_mag_ip">'[1]XI. Table 2 (cont.)'!$BB$24</definedName>
    <definedName name="sch_sp_se_num_g11_mag_lwd">'[1]XI. Table 2 (cont.)'!$BD$24</definedName>
    <definedName name="sch_sp_se_num_g11_mag_m">'[1]XI. Table 2 (cont.)'!$AX$24</definedName>
    <definedName name="sch_sp_se_num_g11_othersports_f">'[1]XI. Table 2 (cont.)'!$AZ$44</definedName>
    <definedName name="sch_sp_se_num_g11_othersports_ip">'[1]XI. Table 2 (cont.)'!$BB$44</definedName>
    <definedName name="sch_sp_se_num_g11_othersports_lwd">'[1]XI. Table 2 (cont.)'!$BD$44</definedName>
    <definedName name="sch_sp_se_num_g11_othersports_m">'[1]XI. Table 2 (cont.)'!$AX$44</definedName>
    <definedName name="sch_sp_se_num_g11_pencak_f">'[1]XI. Table 2 (cont.)'!$AZ$27</definedName>
    <definedName name="sch_sp_se_num_g11_pencak_ip">'[1]XI. Table 2 (cont.)'!$BB$27</definedName>
    <definedName name="sch_sp_se_num_g11_pencak_lwd">'[1]XI. Table 2 (cont.)'!$BD$27</definedName>
    <definedName name="sch_sp_se_num_g11_pencak_m">'[1]XI. Table 2 (cont.)'!$AX$27</definedName>
    <definedName name="sch_sp_se_num_g11_phgames_f">'[1]XI. Table 2 (cont.)'!$AZ$42</definedName>
    <definedName name="sch_sp_se_num_g11_phgames_ip">'[1]XI. Table 2 (cont.)'!$BB$42</definedName>
    <definedName name="sch_sp_se_num_g11_phgames_lwd">'[1]XI. Table 2 (cont.)'!$BD$42</definedName>
    <definedName name="sch_sp_se_num_g11_phgames_m">'[1]XI. Table 2 (cont.)'!$AX$42</definedName>
    <definedName name="sch_sp_se_num_g11_rg_f">'[1]XI. Table 2 (cont.)'!$AZ$26</definedName>
    <definedName name="sch_sp_se_num_g11_rg_ip">'[1]XI. Table 2 (cont.)'!$BB$26</definedName>
    <definedName name="sch_sp_se_num_g11_rg_lwd">'[1]XI. Table 2 (cont.)'!$BD$26</definedName>
    <definedName name="sch_sp_se_num_g11_rg_m">'[1]XI. Table 2 (cont.)'!$AX$26</definedName>
    <definedName name="sch_sp_se_num_g11_sepaktakraw_f">'[1]XI. Table 2 (cont.)'!$AZ$28</definedName>
    <definedName name="sch_sp_se_num_g11_sepaktakraw_ip">'[1]XI. Table 2 (cont.)'!$BB$28</definedName>
    <definedName name="sch_sp_se_num_g11_sepaktakraw_lwd">'[1]XI. Table 2 (cont.)'!$BD$28</definedName>
    <definedName name="sch_sp_se_num_g11_sepaktakraw_m">'[1]XI. Table 2 (cont.)'!$AX$28</definedName>
    <definedName name="sch_sp_se_num_g11_softball_f">'[1]XI. Table 2 (cont.)'!$AZ$29</definedName>
    <definedName name="sch_sp_se_num_g11_softball_ip">'[1]XI. Table 2 (cont.)'!$BB$29</definedName>
    <definedName name="sch_sp_se_num_g11_softball_lwd">'[1]XI. Table 2 (cont.)'!$BD$29</definedName>
    <definedName name="sch_sp_se_num_g11_softball_m">'[1]XI. Table 2 (cont.)'!$AX$29</definedName>
    <definedName name="sch_sp_se_num_g11_swimming_f">'[1]XI. Table 2 (cont.)'!$AZ$30</definedName>
    <definedName name="sch_sp_se_num_g11_swimming_ip">'[1]XI. Table 2 (cont.)'!$BB$30</definedName>
    <definedName name="sch_sp_se_num_g11_swimming_lwd">'[1]XI. Table 2 (cont.)'!$BD$30</definedName>
    <definedName name="sch_sp_se_num_g11_swimming_m">'[1]XI. Table 2 (cont.)'!$AX$30</definedName>
    <definedName name="sch_sp_se_num_g11_swimmingparagame_f">'[1]XI. Table 2 (cont.)'!$AZ$39</definedName>
    <definedName name="sch_sp_se_num_g11_swimmingparagame_ip">'[1]XI. Table 2 (cont.)'!$BB$39</definedName>
    <definedName name="sch_sp_se_num_g11_swimmingparagame_lwd">'[1]XI. Table 2 (cont.)'!$BD$39</definedName>
    <definedName name="sch_sp_se_num_g11_swimmingparagame_m">'[1]XI. Table 2 (cont.)'!$AX$39</definedName>
    <definedName name="sch_sp_se_num_g11_tabletennis_f">'[1]XI. Table 2 (cont.)'!$AZ$31</definedName>
    <definedName name="sch_sp_se_num_g11_tabletennis_ip">'[1]XI. Table 2 (cont.)'!$BB$31</definedName>
    <definedName name="sch_sp_se_num_g11_tabletennis_lwd">'[1]XI. Table 2 (cont.)'!$BD$31</definedName>
    <definedName name="sch_sp_se_num_g11_tabletennis_m">'[1]XI. Table 2 (cont.)'!$AX$31</definedName>
    <definedName name="sch_sp_se_num_g11_taekwondo_f">'[1]XI. Table 2 (cont.)'!$AZ$32</definedName>
    <definedName name="sch_sp_se_num_g11_taekwondo_ip">'[1]XI. Table 2 (cont.)'!$BB$32</definedName>
    <definedName name="sch_sp_se_num_g11_taekwondo_lwd">'[1]XI. Table 2 (cont.)'!$BD$32</definedName>
    <definedName name="sch_sp_se_num_g11_taekwondo_m">'[1]XI. Table 2 (cont.)'!$AX$32</definedName>
    <definedName name="sch_sp_se_num_g11_tennis_f">'[1]XI. Table 2 (cont.)'!$AZ$33</definedName>
    <definedName name="sch_sp_se_num_g11_tennis_ip">'[1]XI. Table 2 (cont.)'!$BB$33</definedName>
    <definedName name="sch_sp_se_num_g11_tennis_lwd">'[1]XI. Table 2 (cont.)'!$BD$33</definedName>
    <definedName name="sch_sp_se_num_g11_tennis_m">'[1]XI. Table 2 (cont.)'!$AX$33</definedName>
    <definedName name="sch_sp_se_num_g11_volleyball_f">'[1]XI. Table 2 (cont.)'!$AZ$34</definedName>
    <definedName name="sch_sp_se_num_g11_volleyball_ip">'[1]XI. Table 2 (cont.)'!$BB$34</definedName>
    <definedName name="sch_sp_se_num_g11_volleyball_lwd">'[1]XI. Table 2 (cont.)'!$BD$34</definedName>
    <definedName name="sch_sp_se_num_g11_volleyball_m">'[1]XI. Table 2 (cont.)'!$AX$34</definedName>
    <definedName name="sch_sp_se_num_g11_wag_f">'[1]XI. Table 2 (cont.)'!$AZ$25</definedName>
    <definedName name="sch_sp_se_num_g11_wag_ip">'[1]XI. Table 2 (cont.)'!$BB$25</definedName>
    <definedName name="sch_sp_se_num_g11_wag_lwd">'[1]XI. Table 2 (cont.)'!$BD$25</definedName>
    <definedName name="sch_sp_se_num_g11_wag_m">'[1]XI. Table 2 (cont.)'!$AX$25</definedName>
    <definedName name="sch_sp_se_num_g11_weightlifting_f">'[1]XI. Table 2 (cont.)'!$AZ$35</definedName>
    <definedName name="sch_sp_se_num_g11_weightlifting_ip">'[1]XI. Table 2 (cont.)'!$BB$35</definedName>
    <definedName name="sch_sp_se_num_g11_weightlifting_lwd">'[1]XI. Table 2 (cont.)'!$BD$35</definedName>
    <definedName name="sch_sp_se_num_g11_weightlifting_m">'[1]XI. Table 2 (cont.)'!$AX$35</definedName>
    <definedName name="sch_sp_se_num_g11_wrestling_f">'[1]XI. Table 2 (cont.)'!$AZ$36</definedName>
    <definedName name="sch_sp_se_num_g11_wrestling_ip">'[1]XI. Table 2 (cont.)'!$BB$36</definedName>
    <definedName name="sch_sp_se_num_g11_wrestling_lwd">'[1]XI. Table 2 (cont.)'!$BD$36</definedName>
    <definedName name="sch_sp_se_num_g11_wrestling_m">'[1]XI. Table 2 (cont.)'!$AX$36</definedName>
    <definedName name="sch_sp_se_num_g11_wushu_f">'[1]XI. Table 2 (cont.)'!$AZ$37</definedName>
    <definedName name="sch_sp_se_num_g11_wushu_ip">'[1]XI. Table 2 (cont.)'!$BB$37</definedName>
    <definedName name="sch_sp_se_num_g11_wushu_lwd">'[1]XI. Table 2 (cont.)'!$BD$37</definedName>
    <definedName name="sch_sp_se_num_g11_wushu_m">'[1]XI. Table 2 (cont.)'!$AX$37</definedName>
    <definedName name="sch_sp_se_num_g12_aerogymn_f">'[1]XI. Table 2 (cont.)'!$BH$23</definedName>
    <definedName name="sch_sp_se_num_g12_aerogymn_ip">'[1]XI. Table 2 (cont.)'!$BJ$23</definedName>
    <definedName name="sch_sp_se_num_g12_aerogymn_lwd">'[1]XI. Table 2 (cont.)'!$BL$23</definedName>
    <definedName name="sch_sp_se_num_g12_aerogymn_m">'[1]XI. Table 2 (cont.)'!$BF$23</definedName>
    <definedName name="sch_sp_se_num_g12_archery_f">'[1]XI. Table 2 (cont.)'!$BH$10</definedName>
    <definedName name="sch_sp_se_num_g12_archery_ip">'[1]XI. Table 2 (cont.)'!$BJ$10</definedName>
    <definedName name="sch_sp_se_num_g12_archery_lwd">'[1]XI. Table 2 (cont.)'!$BL$10</definedName>
    <definedName name="sch_sp_se_num_g12_archery_m">'[1]XI. Table 2 (cont.)'!$BF$10</definedName>
    <definedName name="sch_sp_se_num_g12_arnis_f">'[1]XI. Table 2 (cont.)'!$BH$11</definedName>
    <definedName name="sch_sp_se_num_g12_arnis_ip">'[1]XI. Table 2 (cont.)'!$BJ$11</definedName>
    <definedName name="sch_sp_se_num_g12_arnis_lwd">'[1]XI. Table 2 (cont.)'!$BL$11</definedName>
    <definedName name="sch_sp_se_num_g12_arnis_m">'[1]XI. Table 2 (cont.)'!$BF$11</definedName>
    <definedName name="sch_sp_se_num_g12_athleticsparagame_f">'[1]XI. Table 2 (cont.)'!$BH$38</definedName>
    <definedName name="sch_sp_se_num_g12_athleticsparagame_ip">'[1]XI. Table 2 (cont.)'!$BJ$38</definedName>
    <definedName name="sch_sp_se_num_g12_athleticsparagame_lwd">'[1]XI. Table 2 (cont.)'!$BL$38</definedName>
    <definedName name="sch_sp_se_num_g12_athleticsparagame_m">'[1]XI. Table 2 (cont.)'!$BF$38</definedName>
    <definedName name="sch_sp_se_num_g12_athlthrow_f">'[1]XI. Table 2 (cont.)'!$BH$12</definedName>
    <definedName name="sch_sp_se_num_g12_athlthrow_ip">'[1]XI. Table 2 (cont.)'!$BJ$12</definedName>
    <definedName name="sch_sp_se_num_g12_athlthrow_lwd">'[1]XI. Table 2 (cont.)'!$BL$12</definedName>
    <definedName name="sch_sp_se_num_g12_athlthrow_m">'[1]XI. Table 2 (cont.)'!$BF$12</definedName>
    <definedName name="sch_sp_se_num_g12_athltrun_f">'[1]XI. Table 2 (cont.)'!$BH$13</definedName>
    <definedName name="sch_sp_se_num_g12_athltrun_ip">'[1]XI. Table 2 (cont.)'!$BJ$13</definedName>
    <definedName name="sch_sp_se_num_g12_athltrun_lwd">'[1]XI. Table 2 (cont.)'!$BL$13</definedName>
    <definedName name="sch_sp_se_num_g12_athltrun_m">'[1]XI. Table 2 (cont.)'!$BF$13</definedName>
    <definedName name="sch_sp_se_num_g12_badminton_f">'[1]XI. Table 2 (cont.)'!$BH$14</definedName>
    <definedName name="sch_sp_se_num_g12_badminton_ip">'[1]XI. Table 2 (cont.)'!$BJ$14</definedName>
    <definedName name="sch_sp_se_num_g12_badminton_lwd">'[1]XI. Table 2 (cont.)'!$BL$14</definedName>
    <definedName name="sch_sp_se_num_g12_badminton_m">'[1]XI. Table 2 (cont.)'!$BF$14</definedName>
    <definedName name="sch_sp_se_num_g12_baseball_f">'[1]XI. Table 2 (cont.)'!$BH$16</definedName>
    <definedName name="sch_sp_se_num_g12_baseball_ip">'[1]XI. Table 2 (cont.)'!$BJ$16</definedName>
    <definedName name="sch_sp_se_num_g12_baseball_lwd">'[1]XI. Table 2 (cont.)'!$BL$16</definedName>
    <definedName name="sch_sp_se_num_g12_baseball_m">'[1]XI. Table 2 (cont.)'!$BF$16</definedName>
    <definedName name="sch_sp_se_num_g12_basketball_f">'[1]XI. Table 2 (cont.)'!$BH$15</definedName>
    <definedName name="sch_sp_se_num_g12_basketball_ip">'[1]XI. Table 2 (cont.)'!$BJ$15</definedName>
    <definedName name="sch_sp_se_num_g12_basketball_lwd">'[1]XI. Table 2 (cont.)'!$BL$15</definedName>
    <definedName name="sch_sp_se_num_g12_basketball_m">'[1]XI. Table 2 (cont.)'!$BF$15</definedName>
    <definedName name="sch_sp_se_num_g12_billiards_f">'[1]XI. Table 2 (cont.)'!$BH$17</definedName>
    <definedName name="sch_sp_se_num_g12_billiards_ip">'[1]XI. Table 2 (cont.)'!$BJ$17</definedName>
    <definedName name="sch_sp_se_num_g12_billiards_lwd">'[1]XI. Table 2 (cont.)'!$BL$17</definedName>
    <definedName name="sch_sp_se_num_g12_billiards_m">'[1]XI. Table 2 (cont.)'!$BF$17</definedName>
    <definedName name="sch_sp_se_num_g12_bocce_f">'[1]XI. Table 2 (cont.)'!$BH$41</definedName>
    <definedName name="sch_sp_se_num_g12_bocce_ip">'[1]XI. Table 2 (cont.)'!$BJ$41</definedName>
    <definedName name="sch_sp_se_num_g12_bocce_lwd">'[1]XI. Table 2 (cont.)'!$BL$41</definedName>
    <definedName name="sch_sp_se_num_g12_bocce_m">'[1]XI. Table 2 (cont.)'!$BF$41</definedName>
    <definedName name="sch_sp_se_num_g12_boxing_f">'[1]XI. Table 2 (cont.)'!$BH$18</definedName>
    <definedName name="sch_sp_se_num_g12_boxing_ip">'[1]XI. Table 2 (cont.)'!$BJ$18</definedName>
    <definedName name="sch_sp_se_num_g12_boxing_lwd">'[1]XI. Table 2 (cont.)'!$BL$18</definedName>
    <definedName name="sch_sp_se_num_g12_boxing_m">'[1]XI. Table 2 (cont.)'!$BF$18</definedName>
    <definedName name="sch_sp_se_num_g12_chess_f">'[1]XI. Table 2 (cont.)'!$BH$19</definedName>
    <definedName name="sch_sp_se_num_g12_chess_ip">'[1]XI. Table 2 (cont.)'!$BJ$19</definedName>
    <definedName name="sch_sp_se_num_g12_chess_lwd">'[1]XI. Table 2 (cont.)'!$BL$19</definedName>
    <definedName name="sch_sp_se_num_g12_chess_m">'[1]XI. Table 2 (cont.)'!$BF$19</definedName>
    <definedName name="sch_sp_se_num_g12_dancesports_f">'[1]XI. Table 2 (cont.)'!$BH$20</definedName>
    <definedName name="sch_sp_se_num_g12_dancesports_ip">'[1]XI. Table 2 (cont.)'!$BJ$20</definedName>
    <definedName name="sch_sp_se_num_g12_dancesports_lwd">'[1]XI. Table 2 (cont.)'!$BL$20</definedName>
    <definedName name="sch_sp_se_num_g12_dancesports_m">'[1]XI. Table 2 (cont.)'!$BF$20</definedName>
    <definedName name="sch_sp_se_num_g12_football_f">'[1]XI. Table 2 (cont.)'!$BH$21</definedName>
    <definedName name="sch_sp_se_num_g12_football_ip">'[1]XI. Table 2 (cont.)'!$BJ$21</definedName>
    <definedName name="sch_sp_se_num_g12_football_lwd">'[1]XI. Table 2 (cont.)'!$BL$21</definedName>
    <definedName name="sch_sp_se_num_g12_football_m">'[1]XI. Table 2 (cont.)'!$BF$21</definedName>
    <definedName name="sch_sp_se_num_g12_futsal_f">'[1]XI. Table 2 (cont.)'!$BH$22</definedName>
    <definedName name="sch_sp_se_num_g12_futsal_ip">'[1]XI. Table 2 (cont.)'!$BJ$22</definedName>
    <definedName name="sch_sp_se_num_g12_futsal_lwd">'[1]XI. Table 2 (cont.)'!$BL$22</definedName>
    <definedName name="sch_sp_se_num_g12_futsal_m">'[1]XI. Table 2 (cont.)'!$BF$22</definedName>
    <definedName name="sch_sp_se_num_g12_goalball_f">'[1]XI. Table 2 (cont.)'!$BH$40</definedName>
    <definedName name="sch_sp_se_num_g12_goalball_ip">'[1]XI. Table 2 (cont.)'!$BJ$40</definedName>
    <definedName name="sch_sp_se_num_g12_goalball_lwd">'[1]XI. Table 2 (cont.)'!$BL$40</definedName>
    <definedName name="sch_sp_se_num_g12_goalball_m">'[1]XI. Table 2 (cont.)'!$BF$40</definedName>
    <definedName name="sch_sp_se_num_g12_mag_f">'[1]XI. Table 2 (cont.)'!$BH$24</definedName>
    <definedName name="sch_sp_se_num_g12_mag_ip">'[1]XI. Table 2 (cont.)'!$BJ$24</definedName>
    <definedName name="sch_sp_se_num_g12_mag_lwd">'[1]XI. Table 2 (cont.)'!$BL$24</definedName>
    <definedName name="sch_sp_se_num_g12_mag_m">'[1]XI. Table 2 (cont.)'!$BF$24</definedName>
    <definedName name="sch_sp_se_num_g12_othersports_f">'[1]XI. Table 2 (cont.)'!$BH$44</definedName>
    <definedName name="sch_sp_se_num_g12_othersports_ip">'[1]XI. Table 2 (cont.)'!$BJ$44</definedName>
    <definedName name="sch_sp_se_num_g12_othersports_lwd">'[1]XI. Table 2 (cont.)'!$BL$44</definedName>
    <definedName name="sch_sp_se_num_g12_othersports_m">'[1]XI. Table 2 (cont.)'!$BF$44</definedName>
    <definedName name="sch_sp_se_num_g12_pencak_f">'[1]XI. Table 2 (cont.)'!$BH$27</definedName>
    <definedName name="sch_sp_se_num_g12_pencak_ip">'[1]XI. Table 2 (cont.)'!$BJ$27</definedName>
    <definedName name="sch_sp_se_num_g12_pencak_lwd">'[1]XI. Table 2 (cont.)'!$BL$27</definedName>
    <definedName name="sch_sp_se_num_g12_pencak_m">'[1]XI. Table 2 (cont.)'!$BF$27</definedName>
    <definedName name="sch_sp_se_num_g12_phgames_f">'[1]XI. Table 2 (cont.)'!$BH$42</definedName>
    <definedName name="sch_sp_se_num_g12_phgames_ip">'[1]XI. Table 2 (cont.)'!$BJ$42</definedName>
    <definedName name="sch_sp_se_num_g12_phgames_lwd">'[1]XI. Table 2 (cont.)'!$BL$42</definedName>
    <definedName name="sch_sp_se_num_g12_phgames_m">'[1]XI. Table 2 (cont.)'!$BF$42</definedName>
    <definedName name="sch_sp_se_num_g12_rg_f">'[1]XI. Table 2 (cont.)'!$BH$26</definedName>
    <definedName name="sch_sp_se_num_g12_rg_ip">'[1]XI. Table 2 (cont.)'!$BJ$26</definedName>
    <definedName name="sch_sp_se_num_g12_rg_lwd">'[1]XI. Table 2 (cont.)'!$BL$26</definedName>
    <definedName name="sch_sp_se_num_g12_rg_m">'[1]XI. Table 2 (cont.)'!$BF$26</definedName>
    <definedName name="sch_sp_se_num_g12_sepaktakraw_f">'[1]XI. Table 2 (cont.)'!$BH$28</definedName>
    <definedName name="sch_sp_se_num_g12_sepaktakraw_ip">'[1]XI. Table 2 (cont.)'!$BJ$28</definedName>
    <definedName name="sch_sp_se_num_g12_sepaktakraw_lwd">'[1]XI. Table 2 (cont.)'!$BL$28</definedName>
    <definedName name="sch_sp_se_num_g12_sepaktakraw_m">'[1]XI. Table 2 (cont.)'!$BF$28</definedName>
    <definedName name="sch_sp_se_num_g12_softball_f">'[1]XI. Table 2 (cont.)'!$BH$29</definedName>
    <definedName name="sch_sp_se_num_g12_softball_ip">'[1]XI. Table 2 (cont.)'!$BJ$29</definedName>
    <definedName name="sch_sp_se_num_g12_softball_lwd">'[1]XI. Table 2 (cont.)'!$BL$29</definedName>
    <definedName name="sch_sp_se_num_g12_softball_m">'[1]XI. Table 2 (cont.)'!$BF$29</definedName>
    <definedName name="sch_sp_se_num_g12_swimming_f">'[1]XI. Table 2 (cont.)'!$BH$30</definedName>
    <definedName name="sch_sp_se_num_g12_swimming_ip">'[1]XI. Table 2 (cont.)'!$BJ$30</definedName>
    <definedName name="sch_sp_se_num_g12_swimming_lwd">'[1]XI. Table 2 (cont.)'!$BL$30</definedName>
    <definedName name="sch_sp_se_num_g12_swimming_m">'[1]XI. Table 2 (cont.)'!$BF$30</definedName>
    <definedName name="sch_sp_se_num_g12_swimmingparagame_f">'[1]XI. Table 2 (cont.)'!$BH$39</definedName>
    <definedName name="sch_sp_se_num_g12_swimmingparagame_ip">'[1]XI. Table 2 (cont.)'!$BJ$39</definedName>
    <definedName name="sch_sp_se_num_g12_swimmingparagame_lwd">'[1]XI. Table 2 (cont.)'!$BL$39</definedName>
    <definedName name="sch_sp_se_num_g12_swimmingparagame_m">'[1]XI. Table 2 (cont.)'!$BF$39</definedName>
    <definedName name="sch_sp_se_num_g12_tabletennis_f">'[1]XI. Table 2 (cont.)'!$BH$31</definedName>
    <definedName name="sch_sp_se_num_g12_tabletennis_ip">'[1]XI. Table 2 (cont.)'!$BJ$31</definedName>
    <definedName name="sch_sp_se_num_g12_tabletennis_lwd">'[1]XI. Table 2 (cont.)'!$BL$31</definedName>
    <definedName name="sch_sp_se_num_g12_tabletennis_m">'[1]XI. Table 2 (cont.)'!$BF$31</definedName>
    <definedName name="sch_sp_se_num_g12_taekwondo_f">'[1]XI. Table 2 (cont.)'!$BH$32</definedName>
    <definedName name="sch_sp_se_num_g12_taekwondo_ip">'[1]XI. Table 2 (cont.)'!$BJ$32</definedName>
    <definedName name="sch_sp_se_num_g12_taekwondo_lwd">'[1]XI. Table 2 (cont.)'!$BL$32</definedName>
    <definedName name="sch_sp_se_num_g12_taekwondo_m">'[1]XI. Table 2 (cont.)'!$BF$32</definedName>
    <definedName name="sch_sp_se_num_g12_tennis_f">'[1]XI. Table 2 (cont.)'!$BH$33</definedName>
    <definedName name="sch_sp_se_num_g12_tennis_ip">'[1]XI. Table 2 (cont.)'!$BJ$33</definedName>
    <definedName name="sch_sp_se_num_g12_tennis_lwd">'[1]XI. Table 2 (cont.)'!$BL$33</definedName>
    <definedName name="sch_sp_se_num_g12_tennis_m">'[1]XI. Table 2 (cont.)'!$BF$33</definedName>
    <definedName name="sch_sp_se_num_g12_volleyball_f">'[1]XI. Table 2 (cont.)'!$BH$34</definedName>
    <definedName name="sch_sp_se_num_g12_volleyball_ip">'[1]XI. Table 2 (cont.)'!$BJ$34</definedName>
    <definedName name="sch_sp_se_num_g12_volleyball_lwd">'[1]XI. Table 2 (cont.)'!$BL$34</definedName>
    <definedName name="sch_sp_se_num_g12_volleyball_m">'[1]XI. Table 2 (cont.)'!$BF$34</definedName>
    <definedName name="sch_sp_se_num_g12_wag_f">'[1]XI. Table 2 (cont.)'!$BH$25</definedName>
    <definedName name="sch_sp_se_num_g12_wag_ip">'[1]XI. Table 2 (cont.)'!$BJ$25</definedName>
    <definedName name="sch_sp_se_num_g12_wag_lwd">'[1]XI. Table 2 (cont.)'!$BL$25</definedName>
    <definedName name="sch_sp_se_num_g12_wag_m">'[1]XI. Table 2 (cont.)'!$BF$25</definedName>
    <definedName name="sch_sp_se_num_g12_weightlifting_f">'[1]XI. Table 2 (cont.)'!$BH$35</definedName>
    <definedName name="sch_sp_se_num_g12_weightlifting_ip">'[1]XI. Table 2 (cont.)'!$BJ$35</definedName>
    <definedName name="sch_sp_se_num_g12_weightlifting_lwd">'[1]XI. Table 2 (cont.)'!$BL$35</definedName>
    <definedName name="sch_sp_se_num_g12_weightlifting_m">'[1]XI. Table 2 (cont.)'!$BF$35</definedName>
    <definedName name="sch_sp_se_num_g12_wrestling_f">'[1]XI. Table 2 (cont.)'!$BH$36</definedName>
    <definedName name="sch_sp_se_num_g12_wrestling_ip">'[1]XI. Table 2 (cont.)'!$BJ$36</definedName>
    <definedName name="sch_sp_se_num_g12_wrestling_lwd">'[1]XI. Table 2 (cont.)'!$BL$36</definedName>
    <definedName name="sch_sp_se_num_g12_wrestling_m">'[1]XI. Table 2 (cont.)'!$BF$36</definedName>
    <definedName name="sch_sp_se_num_g12_wushu_f">'[1]XI. Table 2 (cont.)'!$BH$37</definedName>
    <definedName name="sch_sp_se_num_g12_wushu_ip">'[1]XI. Table 2 (cont.)'!$BJ$37</definedName>
    <definedName name="sch_sp_se_num_g12_wushu_lwd">'[1]XI. Table 2 (cont.)'!$BL$37</definedName>
    <definedName name="sch_sp_se_num_g12_wushu_m">'[1]XI. Table 2 (cont.)'!$BF$37</definedName>
    <definedName name="sch_sp_se_num_g2_aerogymn_f">'[1]XI. Table 2'!$AB$22</definedName>
    <definedName name="sch_sp_se_num_g2_aerogymn_ip">'[1]XI. Table 2'!$AD$22</definedName>
    <definedName name="sch_sp_se_num_g2_aerogymn_lwd">'[1]XI. Table 2'!$AF$22</definedName>
    <definedName name="sch_sp_se_num_g2_aerogymn_m">'[1]XI. Table 2'!$Z$22</definedName>
    <definedName name="sch_sp_se_num_g2_archery_f">'[1]XI. Table 2'!$AB$9</definedName>
    <definedName name="sch_sp_se_num_g2_archery_ip">'[1]XI. Table 2'!$AD$9</definedName>
    <definedName name="sch_sp_se_num_g2_archery_lwd">'[1]XI. Table 2'!$AF$9</definedName>
    <definedName name="sch_sp_se_num_g2_archery_m">'[1]XI. Table 2'!$Z$9</definedName>
    <definedName name="sch_sp_se_num_g2_arnis_f">'[1]XI. Table 2'!$AB$10</definedName>
    <definedName name="sch_sp_se_num_g2_arnis_ip">'[1]XI. Table 2'!$AD$10</definedName>
    <definedName name="sch_sp_se_num_g2_arnis_lwd">'[1]XI. Table 2'!$AF$10</definedName>
    <definedName name="sch_sp_se_num_g2_arnis_m">'[1]XI. Table 2'!$Z$10</definedName>
    <definedName name="sch_sp_se_num_g2_athleticsparagame_f">'[1]XI. Table 2'!$AB$37</definedName>
    <definedName name="sch_sp_se_num_g2_athleticsparagame_ip">'[1]XI. Table 2'!$AD$37</definedName>
    <definedName name="sch_sp_se_num_g2_athleticsparagame_lwd">'[1]XI. Table 2'!$AF$37</definedName>
    <definedName name="sch_sp_se_num_g2_athleticsparagame_m">'[1]XI. Table 2'!$Z$37</definedName>
    <definedName name="sch_sp_se_num_g2_athlthrow_f">'[1]XI. Table 2'!$AB$11</definedName>
    <definedName name="sch_sp_se_num_g2_athlthrow_ip">'[1]XI. Table 2'!$AD$11</definedName>
    <definedName name="sch_sp_se_num_g2_athlthrow_lwd">'[1]XI. Table 2'!$AF$11</definedName>
    <definedName name="sch_sp_se_num_g2_athlthrow_m">'[1]XI. Table 2'!$Z$11</definedName>
    <definedName name="sch_sp_se_num_g2_athltrun_f">'[1]XI. Table 2'!$AB$12</definedName>
    <definedName name="sch_sp_se_num_g2_athltrun_ip">'[1]XI. Table 2'!$AD$12</definedName>
    <definedName name="sch_sp_se_num_g2_athltrun_lwd">'[1]XI. Table 2'!$AF$12</definedName>
    <definedName name="sch_sp_se_num_g2_athltrun_m">'[1]XI. Table 2'!$Z$12</definedName>
    <definedName name="sch_sp_se_num_g2_badminton_f">'[1]XI. Table 2'!$AB$13</definedName>
    <definedName name="sch_sp_se_num_g2_badminton_ip">'[1]XI. Table 2'!$AD$13</definedName>
    <definedName name="sch_sp_se_num_g2_badminton_lwd">'[1]XI. Table 2'!$AF$13</definedName>
    <definedName name="sch_sp_se_num_g2_badminton_m">'[1]XI. Table 2'!$Z$13</definedName>
    <definedName name="sch_sp_se_num_g2_baseball_f">'[1]XI. Table 2'!$AB$15</definedName>
    <definedName name="sch_sp_se_num_g2_baseball_ip">'[1]XI. Table 2'!$AD$15</definedName>
    <definedName name="sch_sp_se_num_g2_baseball_lwd">'[1]XI. Table 2'!$AF$15</definedName>
    <definedName name="sch_sp_se_num_g2_baseball_m">'[1]XI. Table 2'!$Z$15</definedName>
    <definedName name="sch_sp_se_num_g2_basketball_f">'[1]XI. Table 2'!$AB$14</definedName>
    <definedName name="sch_sp_se_num_g2_basketball_ip">'[1]XI. Table 2'!$AD$14</definedName>
    <definedName name="sch_sp_se_num_g2_basketball_lwd">'[1]XI. Table 2'!$AF$14</definedName>
    <definedName name="sch_sp_se_num_g2_basketball_m">'[1]XI. Table 2'!$Z$14</definedName>
    <definedName name="sch_sp_se_num_g2_billiards_f">'[1]XI. Table 2'!$AB$16</definedName>
    <definedName name="sch_sp_se_num_g2_billiards_ip">'[1]XI. Table 2'!$AD$16</definedName>
    <definedName name="sch_sp_se_num_g2_billiards_lwd">'[1]XI. Table 2'!$AF$16</definedName>
    <definedName name="sch_sp_se_num_g2_billiards_m">'[1]XI. Table 2'!$Z$16</definedName>
    <definedName name="sch_sp_se_num_g2_bocce_f">'[1]XI. Table 2'!$AB$40</definedName>
    <definedName name="sch_sp_se_num_g2_bocce_ip">'[1]XI. Table 2'!$AD$40</definedName>
    <definedName name="sch_sp_se_num_g2_bocce_lwd">'[1]XI. Table 2'!$AF$40</definedName>
    <definedName name="sch_sp_se_num_g2_bocce_m">'[1]XI. Table 2'!$Z$40</definedName>
    <definedName name="sch_sp_se_num_g2_boxing_f">'[1]XI. Table 2'!$AB$17</definedName>
    <definedName name="sch_sp_se_num_g2_boxing_ip">'[1]XI. Table 2'!$AD$17</definedName>
    <definedName name="sch_sp_se_num_g2_boxing_lwd">'[1]XI. Table 2'!$AF$17</definedName>
    <definedName name="sch_sp_se_num_g2_boxing_m">'[1]XI. Table 2'!$Z$17</definedName>
    <definedName name="sch_sp_se_num_g2_chess_f">'[1]XI. Table 2'!$AB$18</definedName>
    <definedName name="sch_sp_se_num_g2_chess_ip">'[1]XI. Table 2'!$AD$18</definedName>
    <definedName name="sch_sp_se_num_g2_chess_lwd">'[1]XI. Table 2'!$AF$18</definedName>
    <definedName name="sch_sp_se_num_g2_chess_m">'[1]XI. Table 2'!$Z$18</definedName>
    <definedName name="sch_sp_se_num_g2_dancesports_f">'[1]XI. Table 2'!$AB$19</definedName>
    <definedName name="sch_sp_se_num_g2_dancesports_ip">'[1]XI. Table 2'!$AD$19</definedName>
    <definedName name="sch_sp_se_num_g2_dancesports_lwd">'[1]XI. Table 2'!$AF$19</definedName>
    <definedName name="sch_sp_se_num_g2_dancesports_m">'[1]XI. Table 2'!$Z$19</definedName>
    <definedName name="sch_sp_se_num_g2_football_f">'[1]XI. Table 2'!$AB$20</definedName>
    <definedName name="sch_sp_se_num_g2_football_ip">'[1]XI. Table 2'!$AD$20</definedName>
    <definedName name="sch_sp_se_num_g2_football_lwd">'[1]XI. Table 2'!$AF$20</definedName>
    <definedName name="sch_sp_se_num_g2_football_m">'[1]XI. Table 2'!$Z$20</definedName>
    <definedName name="sch_sp_se_num_g2_futsal_f">'[1]XI. Table 2'!$AB$21</definedName>
    <definedName name="sch_sp_se_num_g2_futsal_ip">'[1]XI. Table 2'!$AD$21</definedName>
    <definedName name="sch_sp_se_num_g2_futsal_lwd">'[1]XI. Table 2'!$AF$21</definedName>
    <definedName name="sch_sp_se_num_g2_futsal_m">'[1]XI. Table 2'!$Z$21</definedName>
    <definedName name="sch_sp_se_num_g2_goalball_f">'[1]XI. Table 2'!$AB$39</definedName>
    <definedName name="sch_sp_se_num_g2_goalball_ip">'[1]XI. Table 2'!$AD$39</definedName>
    <definedName name="sch_sp_se_num_g2_goalball_lwd">'[1]XI. Table 2'!$AF$39</definedName>
    <definedName name="sch_sp_se_num_g2_goalball_m">'[1]XI. Table 2'!$Z$39</definedName>
    <definedName name="sch_sp_se_num_g2_mag_f">'[1]XI. Table 2'!$AB$23</definedName>
    <definedName name="sch_sp_se_num_g2_mag_ip">'[1]XI. Table 2'!$AD$23</definedName>
    <definedName name="sch_sp_se_num_g2_mag_lwd">'[1]XI. Table 2'!$AF$23</definedName>
    <definedName name="sch_sp_se_num_g2_mag_m">'[1]XI. Table 2'!$Z$23</definedName>
    <definedName name="sch_sp_se_num_g2_othersports_f">'[1]XI. Table 2'!$AB$43</definedName>
    <definedName name="sch_sp_se_num_g2_othersports_ip">'[1]XI. Table 2'!$AD$43</definedName>
    <definedName name="sch_sp_se_num_g2_othersports_lwd">'[1]XI. Table 2'!$AF$43</definedName>
    <definedName name="sch_sp_se_num_g2_othersports_m">'[1]XI. Table 2'!$Z$43</definedName>
    <definedName name="sch_sp_se_num_g2_pencak_f">'[1]XI. Table 2'!$AB$26</definedName>
    <definedName name="sch_sp_se_num_g2_pencak_ip">'[1]XI. Table 2'!$AD$26</definedName>
    <definedName name="sch_sp_se_num_g2_pencak_lwd">'[1]XI. Table 2'!$AF$26</definedName>
    <definedName name="sch_sp_se_num_g2_pencak_m">'[1]XI. Table 2'!$Z$26</definedName>
    <definedName name="sch_sp_se_num_g2_phgames_f">'[1]XI. Table 2'!$AB$41</definedName>
    <definedName name="sch_sp_se_num_g2_phgames_ip">'[1]XI. Table 2'!$AD$41</definedName>
    <definedName name="sch_sp_se_num_g2_phgames_lwd">'[1]XI. Table 2'!$AF$41</definedName>
    <definedName name="sch_sp_se_num_g2_phgames_m">'[1]XI. Table 2'!$Z$41</definedName>
    <definedName name="sch_sp_se_num_g2_rg_f">'[1]XI. Table 2'!$AB$25</definedName>
    <definedName name="sch_sp_se_num_g2_rg_ip">'[1]XI. Table 2'!$AD$25</definedName>
    <definedName name="sch_sp_se_num_g2_rg_lwd">'[1]XI. Table 2'!$AF$25</definedName>
    <definedName name="sch_sp_se_num_g2_rg_m">'[1]XI. Table 2'!$Z$25</definedName>
    <definedName name="sch_sp_se_num_g2_sepaktakraw_f">'[1]XI. Table 2'!$AB$27</definedName>
    <definedName name="sch_sp_se_num_g2_sepaktakraw_ip">'[1]XI. Table 2'!$AD$27</definedName>
    <definedName name="sch_sp_se_num_g2_sepaktakraw_lwd">'[1]XI. Table 2'!$AF$27</definedName>
    <definedName name="sch_sp_se_num_g2_sepaktakraw_m">'[1]XI. Table 2'!$Z$27</definedName>
    <definedName name="sch_sp_se_num_g2_softball_f">'[1]XI. Table 2'!$AB$28</definedName>
    <definedName name="sch_sp_se_num_g2_softball_ip">'[1]XI. Table 2'!$AD$28</definedName>
    <definedName name="sch_sp_se_num_g2_softball_lwd">'[1]XI. Table 2'!$AF$28</definedName>
    <definedName name="sch_sp_se_num_g2_softball_m">'[1]XI. Table 2'!$Z$28</definedName>
    <definedName name="sch_sp_se_num_g2_swimming_f">'[1]XI. Table 2'!$AB$29</definedName>
    <definedName name="sch_sp_se_num_g2_swimming_ip">'[1]XI. Table 2'!$AD$29</definedName>
    <definedName name="sch_sp_se_num_g2_swimming_lwd">'[1]XI. Table 2'!$AF$29</definedName>
    <definedName name="sch_sp_se_num_g2_swimming_m">'[1]XI. Table 2'!$Z$29</definedName>
    <definedName name="sch_sp_se_num_g2_swimmingparagame_f">'[1]XI. Table 2'!$AB$38</definedName>
    <definedName name="sch_sp_se_num_g2_swimmingparagame_ip">'[1]XI. Table 2'!$AD$38</definedName>
    <definedName name="sch_sp_se_num_g2_swimmingparagame_lwd">'[1]XI. Table 2'!$AF$38</definedName>
    <definedName name="sch_sp_se_num_g2_swimmingparagame_m">'[1]XI. Table 2'!$Z$38</definedName>
    <definedName name="sch_sp_se_num_g2_tabletennis_f">'[1]XI. Table 2'!$AB$30</definedName>
    <definedName name="sch_sp_se_num_g2_tabletennis_ip">'[1]XI. Table 2'!$AD$30</definedName>
    <definedName name="sch_sp_se_num_g2_tabletennis_lwd">'[1]XI. Table 2'!$AF$30</definedName>
    <definedName name="sch_sp_se_num_g2_tabletennis_m">'[1]XI. Table 2'!$Z$30</definedName>
    <definedName name="sch_sp_se_num_g2_taekwondo_f">'[1]XI. Table 2'!$AB$31</definedName>
    <definedName name="sch_sp_se_num_g2_taekwondo_ip">'[1]XI. Table 2'!$AD$31</definedName>
    <definedName name="sch_sp_se_num_g2_taekwondo_lwd">'[1]XI. Table 2'!$AF$31</definedName>
    <definedName name="sch_sp_se_num_g2_taekwondo_m">'[1]XI. Table 2'!$Z$31</definedName>
    <definedName name="sch_sp_se_num_g2_tennis_f">'[1]XI. Table 2'!$AB$32</definedName>
    <definedName name="sch_sp_se_num_g2_tennis_ip">'[1]XI. Table 2'!$AD$32</definedName>
    <definedName name="sch_sp_se_num_g2_tennis_lwd">'[1]XI. Table 2'!$AF$32</definedName>
    <definedName name="sch_sp_se_num_g2_tennis_m">'[1]XI. Table 2'!$Z$32</definedName>
    <definedName name="sch_sp_se_num_g2_volleyball_f">'[1]XI. Table 2'!$AB$33</definedName>
    <definedName name="sch_sp_se_num_g2_volleyball_ip">'[1]XI. Table 2'!$AD$33</definedName>
    <definedName name="sch_sp_se_num_g2_volleyball_lwd">'[1]XI. Table 2'!$AF$33</definedName>
    <definedName name="sch_sp_se_num_g2_volleyball_m">'[1]XI. Table 2'!$Z$33</definedName>
    <definedName name="sch_sp_se_num_g2_wag_f">'[1]XI. Table 2'!$AB$24</definedName>
    <definedName name="sch_sp_se_num_g2_wag_ip">'[1]XI. Table 2'!$AD$24</definedName>
    <definedName name="sch_sp_se_num_g2_wag_lwd">'[1]XI. Table 2'!$AF$24</definedName>
    <definedName name="sch_sp_se_num_g2_wag_m">'[1]XI. Table 2'!$Z$24</definedName>
    <definedName name="sch_sp_se_num_g2_weightlifting_f">'[1]XI. Table 2'!$AB$34</definedName>
    <definedName name="sch_sp_se_num_g2_weightlifting_ip">'[1]XI. Table 2'!$AD$34</definedName>
    <definedName name="sch_sp_se_num_g2_weightlifting_lwd">'[1]XI. Table 2'!$AF$34</definedName>
    <definedName name="sch_sp_se_num_g2_weightlifting_m">'[1]XI. Table 2'!$Z$34</definedName>
    <definedName name="sch_sp_se_num_g2_wrestling_f">'[1]XI. Table 2'!$AB$35</definedName>
    <definedName name="sch_sp_se_num_g2_wrestling_ip">'[1]XI. Table 2'!$AD$35</definedName>
    <definedName name="sch_sp_se_num_g2_wrestling_lwd">'[1]XI. Table 2'!$AF$35</definedName>
    <definedName name="sch_sp_se_num_g2_wrestling_m">'[1]XI. Table 2'!$Z$35</definedName>
    <definedName name="sch_sp_se_num_g2_wushu_f">'[1]XI. Table 2'!$AB$36</definedName>
    <definedName name="sch_sp_se_num_g2_wushu_ip">'[1]XI. Table 2'!$AD$36</definedName>
    <definedName name="sch_sp_se_num_g2_wushu_lwd">'[1]XI. Table 2'!$AF$36</definedName>
    <definedName name="sch_sp_se_num_g2_wushu_m">'[1]XI. Table 2'!$Z$36</definedName>
    <definedName name="sch_sp_se_num_g3_aerogymn_f">'[1]XI. Table 2'!$AJ$22</definedName>
    <definedName name="sch_sp_se_num_g3_aerogymn_ip">'[1]XI. Table 2'!$AL$22</definedName>
    <definedName name="sch_sp_se_num_g3_aerogymn_lwd">'[1]XI. Table 2'!$AN$22</definedName>
    <definedName name="sch_sp_se_num_g3_aerogymn_m">'[1]XI. Table 2'!$AH$22</definedName>
    <definedName name="sch_sp_se_num_g3_archery_f">'[1]XI. Table 2'!$AJ$9</definedName>
    <definedName name="sch_sp_se_num_g3_archery_ip">'[1]XI. Table 2'!$AL$9</definedName>
    <definedName name="sch_sp_se_num_g3_archery_lwd">'[1]XI. Table 2'!$AN$9</definedName>
    <definedName name="sch_sp_se_num_g3_archery_m">'[1]XI. Table 2'!$AH$9</definedName>
    <definedName name="sch_sp_se_num_g3_arnis_f">'[1]XI. Table 2'!$AJ$10</definedName>
    <definedName name="sch_sp_se_num_g3_arnis_f\">'[1]XI. Table 2'!$AJ$10</definedName>
    <definedName name="sch_sp_se_num_g3_arnis_ip">'[1]XI. Table 2'!$AL$10</definedName>
    <definedName name="sch_sp_se_num_g3_arnis_lwd">'[1]XI. Table 2'!$AN$10</definedName>
    <definedName name="sch_sp_se_num_g3_arnis_m">'[1]XI. Table 2'!$AH$10</definedName>
    <definedName name="sch_sp_se_num_g3_athleticsparagame_f">'[1]XI. Table 2'!$AJ$37</definedName>
    <definedName name="sch_sp_se_num_g3_athleticsparagame_ip">'[1]XI. Table 2'!$AL$37</definedName>
    <definedName name="sch_sp_se_num_g3_athleticsparagame_lwd">'[1]XI. Table 2'!$AN$37</definedName>
    <definedName name="sch_sp_se_num_g3_athleticsparagame_m">'[1]XI. Table 2'!$AH$37</definedName>
    <definedName name="sch_sp_se_num_g3_athlthrow_f">'[1]XI. Table 2'!$AJ$11</definedName>
    <definedName name="sch_sp_se_num_g3_athlthrow_ip">'[1]XI. Table 2'!$AL$11</definedName>
    <definedName name="sch_sp_se_num_g3_athlthrow_lwd">'[1]XI. Table 2'!$AN$11</definedName>
    <definedName name="sch_sp_se_num_g3_athlthrow_m">'[1]XI. Table 2'!$AH$11</definedName>
    <definedName name="sch_sp_se_num_g3_athltrun_f">'[1]XI. Table 2'!$AJ$12</definedName>
    <definedName name="sch_sp_se_num_g3_athltrun_ip">'[1]XI. Table 2'!$AL$12</definedName>
    <definedName name="sch_sp_se_num_g3_athltrun_lwd">'[1]XI. Table 2'!$AN$12</definedName>
    <definedName name="sch_sp_se_num_g3_athltrun_m">'[1]XI. Table 2'!$AH$12</definedName>
    <definedName name="sch_sp_se_num_g3_badminton_f">'[1]XI. Table 2'!$AJ$13</definedName>
    <definedName name="sch_sp_se_num_g3_badminton_ip">'[1]XI. Table 2'!$AL$13</definedName>
    <definedName name="sch_sp_se_num_g3_badminton_lwd">'[1]XI. Table 2'!$AN$13</definedName>
    <definedName name="sch_sp_se_num_g3_badminton_m">'[1]XI. Table 2'!$AH$13</definedName>
    <definedName name="sch_sp_se_num_g3_baseball_f">'[1]XI. Table 2'!$AJ$15</definedName>
    <definedName name="sch_sp_se_num_g3_baseball_ip">'[1]XI. Table 2'!$AL$15</definedName>
    <definedName name="sch_sp_se_num_g3_baseball_lwd">'[1]XI. Table 2'!$AN$15</definedName>
    <definedName name="sch_sp_se_num_g3_baseball_m">'[1]XI. Table 2'!$AH$15</definedName>
    <definedName name="sch_sp_se_num_g3_basketball_f">'[1]XI. Table 2'!$AJ$14</definedName>
    <definedName name="sch_sp_se_num_g3_basketball_ip">'[1]XI. Table 2'!$AL$14</definedName>
    <definedName name="sch_sp_se_num_g3_basketball_lwd">'[1]XI. Table 2'!$AN$14</definedName>
    <definedName name="sch_sp_se_num_g3_basketball_m">'[1]XI. Table 2'!$AH$14</definedName>
    <definedName name="sch_sp_se_num_g3_billiards_f">'[1]XI. Table 2'!$AJ$16</definedName>
    <definedName name="sch_sp_se_num_g3_billiards_ip">'[1]XI. Table 2'!$AL$16</definedName>
    <definedName name="sch_sp_se_num_g3_billiards_lwd">'[1]XI. Table 2'!$AN$16</definedName>
    <definedName name="sch_sp_se_num_g3_billiards_m">'[1]XI. Table 2'!$AH$16</definedName>
    <definedName name="sch_sp_se_num_g3_bocce_f">'[1]XI. Table 2'!$AJ$40</definedName>
    <definedName name="sch_sp_se_num_g3_bocce_ip">'[1]XI. Table 2'!$AL$40</definedName>
    <definedName name="sch_sp_se_num_g3_bocce_lwd">'[1]XI. Table 2'!$AN$40</definedName>
    <definedName name="sch_sp_se_num_g3_bocce_m">'[1]XI. Table 2'!$AH$40</definedName>
    <definedName name="sch_sp_se_num_g3_boxing_f">'[1]XI. Table 2'!$AJ$17</definedName>
    <definedName name="sch_sp_se_num_g3_boxing_ip">'[1]XI. Table 2'!$AL$17</definedName>
    <definedName name="sch_sp_se_num_g3_boxing_lwd">'[1]XI. Table 2'!$AN$17</definedName>
    <definedName name="sch_sp_se_num_g3_boxing_m">'[1]XI. Table 2'!$AH$17</definedName>
    <definedName name="sch_sp_se_num_g3_chess_f">'[1]XI. Table 2'!$AJ$18</definedName>
    <definedName name="sch_sp_se_num_g3_chess_ip">'[1]XI. Table 2'!$AL$18</definedName>
    <definedName name="sch_sp_se_num_g3_chess_lwd">'[1]XI. Table 2'!$AN$18</definedName>
    <definedName name="sch_sp_se_num_g3_chess_m">'[1]XI. Table 2'!$AH$18</definedName>
    <definedName name="sch_sp_se_num_g3_dancesports_f">'[1]XI. Table 2'!$AJ$19</definedName>
    <definedName name="sch_sp_se_num_g3_dancesports_ip">'[1]XI. Table 2'!$AL$19</definedName>
    <definedName name="sch_sp_se_num_g3_dancesports_lwd">'[1]XI. Table 2'!$AN$19</definedName>
    <definedName name="sch_sp_se_num_g3_dancesports_m">'[1]XI. Table 2'!$AH$19</definedName>
    <definedName name="sch_sp_se_num_g3_football_f">'[1]XI. Table 2'!$AJ$20</definedName>
    <definedName name="sch_sp_se_num_g3_football_ip">'[1]XI. Table 2'!$AL$20</definedName>
    <definedName name="sch_sp_se_num_g3_football_lwd">'[1]XI. Table 2'!$AN$20</definedName>
    <definedName name="sch_sp_se_num_g3_football_m">'[1]XI. Table 2'!$AH$20</definedName>
    <definedName name="sch_sp_se_num_g3_futsal_f">'[1]XI. Table 2'!$AJ$21</definedName>
    <definedName name="sch_sp_se_num_g3_futsal_ip">'[1]XI. Table 2'!$AL$21</definedName>
    <definedName name="sch_sp_se_num_g3_futsal_lwd">'[1]XI. Table 2'!$AN$21</definedName>
    <definedName name="sch_sp_se_num_g3_futsal_m">'[1]XI. Table 2'!$AH$21</definedName>
    <definedName name="sch_sp_se_num_g3_goalball_f">'[1]XI. Table 2'!$AJ$39</definedName>
    <definedName name="sch_sp_se_num_g3_goalball_ip">'[1]XI. Table 2'!$AL$39</definedName>
    <definedName name="sch_sp_se_num_g3_goalball_lwd">'[1]XI. Table 2'!$AN$39</definedName>
    <definedName name="sch_sp_se_num_g3_goalball_m">'[1]XI. Table 2'!$AH$39</definedName>
    <definedName name="sch_sp_se_num_g3_mag_f">'[1]XI. Table 2'!$AJ$23</definedName>
    <definedName name="sch_sp_se_num_g3_mag_ip">'[1]XI. Table 2'!$AL$23</definedName>
    <definedName name="sch_sp_se_num_g3_mag_lwd">'[1]XI. Table 2'!$AN$23</definedName>
    <definedName name="sch_sp_se_num_g3_mag_m">'[1]XI. Table 2'!$AH$23</definedName>
    <definedName name="sch_sp_se_num_g3_othersports_f">'[1]XI. Table 2'!$AJ$43</definedName>
    <definedName name="sch_sp_se_num_g3_othersports_ip">'[1]XI. Table 2'!$AL$43</definedName>
    <definedName name="sch_sp_se_num_g3_othersports_lwd">'[1]XI. Table 2'!$AN$43</definedName>
    <definedName name="sch_sp_se_num_g3_othersports_m">'[1]XI. Table 2'!$AH$43</definedName>
    <definedName name="sch_sp_se_num_g3_pencak_f">'[1]XI. Table 2'!$AJ$26</definedName>
    <definedName name="sch_sp_se_num_g3_pencak_ip">'[1]XI. Table 2'!$AL$26</definedName>
    <definedName name="sch_sp_se_num_g3_pencak_lwd">'[1]XI. Table 2'!$AN$26</definedName>
    <definedName name="sch_sp_se_num_g3_pencak_m">'[1]XI. Table 2'!$AH$26</definedName>
    <definedName name="sch_sp_se_num_g3_phgames_f">'[1]XI. Table 2'!$AJ$41</definedName>
    <definedName name="sch_sp_se_num_g3_phgames_ip">'[1]XI. Table 2'!$AL$41</definedName>
    <definedName name="sch_sp_se_num_g3_phgames_lwd">'[1]XI. Table 2'!$AN$41</definedName>
    <definedName name="sch_sp_se_num_g3_phgames_m">'[1]XI. Table 2'!$AH$41</definedName>
    <definedName name="sch_sp_se_num_g3_rg_f">'[1]XI. Table 2'!$AJ$25</definedName>
    <definedName name="sch_sp_se_num_g3_rg_ip">'[1]XI. Table 2'!$AL$25</definedName>
    <definedName name="sch_sp_se_num_g3_rg_lwd">'[1]XI. Table 2'!$AN$25</definedName>
    <definedName name="sch_sp_se_num_g3_rg_m">'[1]XI. Table 2'!$AH$25</definedName>
    <definedName name="sch_sp_se_num_g3_sepaktakraw_f">'[1]XI. Table 2'!$AJ$27</definedName>
    <definedName name="sch_sp_se_num_g3_sepaktakraw_ip">'[1]XI. Table 2'!$AL$27</definedName>
    <definedName name="sch_sp_se_num_g3_sepaktakraw_lwd">'[1]XI. Table 2'!$AN$27</definedName>
    <definedName name="sch_sp_se_num_g3_sepaktakraw_m">'[1]XI. Table 2'!$AH$27</definedName>
    <definedName name="sch_sp_se_num_g3_softball_f">'[1]XI. Table 2'!$AJ$28</definedName>
    <definedName name="sch_sp_se_num_g3_softball_ip">'[1]XI. Table 2'!$AL$28</definedName>
    <definedName name="sch_sp_se_num_g3_softball_lwd">'[1]XI. Table 2'!$AN$28</definedName>
    <definedName name="sch_sp_se_num_g3_softball_m">'[1]XI. Table 2'!$AH$28</definedName>
    <definedName name="sch_sp_se_num_g3_swimming_f">'[1]XI. Table 2'!$AJ$29</definedName>
    <definedName name="sch_sp_se_num_g3_swimming_ip">'[1]XI. Table 2'!$AL$29</definedName>
    <definedName name="sch_sp_se_num_g3_swimming_lwd">'[1]XI. Table 2'!$AN$29</definedName>
    <definedName name="sch_sp_se_num_g3_swimming_m">'[1]XI. Table 2'!$AH$29</definedName>
    <definedName name="sch_sp_se_num_g3_swimmingparagame_f">'[1]XI. Table 2'!$AJ$38</definedName>
    <definedName name="sch_sp_se_num_g3_swimmingparagame_ip">'[1]XI. Table 2'!$AL$38</definedName>
    <definedName name="sch_sp_se_num_g3_swimmingparagame_lwd">'[1]XI. Table 2'!$AN$38</definedName>
    <definedName name="sch_sp_se_num_g3_swimmingparagame_m">'[1]XI. Table 2'!$AH$38</definedName>
    <definedName name="sch_sp_se_num_g3_tabletennis_f">'[1]XI. Table 2'!$AJ$30</definedName>
    <definedName name="sch_sp_se_num_g3_tabletennis_ip">'[1]XI. Table 2'!$AL$30</definedName>
    <definedName name="sch_sp_se_num_g3_tabletennis_lwd">'[1]XI. Table 2'!$AN$30</definedName>
    <definedName name="sch_sp_se_num_g3_tabletennis_m">'[1]XI. Table 2'!$AH$30</definedName>
    <definedName name="sch_sp_se_num_g3_taekwondo_f">'[1]XI. Table 2'!$AJ$31</definedName>
    <definedName name="sch_sp_se_num_g3_taekwondo_ip">'[1]XI. Table 2'!$AL$31</definedName>
    <definedName name="sch_sp_se_num_g3_taekwondo_lwd">'[1]XI. Table 2'!$AN$31</definedName>
    <definedName name="sch_sp_se_num_g3_taekwondo_m">'[1]XI. Table 2'!$AH$31</definedName>
    <definedName name="sch_sp_se_num_g3_tennis_f">'[1]XI. Table 2'!$AJ$32</definedName>
    <definedName name="sch_sp_se_num_g3_tennis_ip">'[1]XI. Table 2'!$AL$32</definedName>
    <definedName name="sch_sp_se_num_g3_tennis_lwd">'[1]XI. Table 2'!$AN$32</definedName>
    <definedName name="sch_sp_se_num_g3_tennis_m">'[1]XI. Table 2'!$AH$32</definedName>
    <definedName name="sch_sp_se_num_g3_volleyball_f">'[1]XI. Table 2'!$AJ$33</definedName>
    <definedName name="sch_sp_se_num_g3_volleyball_ip">'[1]XI. Table 2'!$AL$33</definedName>
    <definedName name="sch_sp_se_num_g3_volleyball_lwd">'[1]XI. Table 2'!$AN$33</definedName>
    <definedName name="sch_sp_se_num_g3_volleyball_m">'[1]XI. Table 2'!$AH$33</definedName>
    <definedName name="sch_sp_se_num_g3_wag_f">'[1]XI. Table 2'!$AJ$24</definedName>
    <definedName name="sch_sp_se_num_g3_wag_ip">'[1]XI. Table 2'!$AL$24</definedName>
    <definedName name="sch_sp_se_num_g3_wag_lwd">'[1]XI. Table 2'!$AN$24</definedName>
    <definedName name="sch_sp_se_num_g3_wag_m">'[1]XI. Table 2'!$AH$24</definedName>
    <definedName name="sch_sp_se_num_g3_weightlifting_f">'[1]XI. Table 2'!$AJ$34</definedName>
    <definedName name="sch_sp_se_num_g3_weightlifting_ip">'[1]XI. Table 2'!$AL$34</definedName>
    <definedName name="sch_sp_se_num_g3_weightlifting_lwd">'[1]XI. Table 2'!$AN$34</definedName>
    <definedName name="sch_sp_se_num_g3_weightlifting_m">'[1]XI. Table 2'!$AH$34</definedName>
    <definedName name="sch_sp_se_num_g3_wrestling_f">'[1]XI. Table 2'!$AJ$35</definedName>
    <definedName name="sch_sp_se_num_g3_wrestling_ip">'[1]XI. Table 2'!$AL$35</definedName>
    <definedName name="sch_sp_se_num_g3_wrestling_lwd">'[1]XI. Table 2'!$AN$35</definedName>
    <definedName name="sch_sp_se_num_g3_wrestling_m">'[1]XI. Table 2'!$AH$35</definedName>
    <definedName name="sch_sp_se_num_g3_wushu_f">'[1]XI. Table 2'!$AJ$36</definedName>
    <definedName name="sch_sp_se_num_g3_wushu_ip">'[1]XI. Table 2'!$AL$36</definedName>
    <definedName name="sch_sp_se_num_g3_wushu_lwd">'[1]XI. Table 2'!$AN$36</definedName>
    <definedName name="sch_sp_se_num_g3_wushu_m">'[1]XI. Table 2'!$AH$36</definedName>
    <definedName name="sch_sp_se_num_g4_aerogymn_f">'[1]XI. Table 2'!$AR$22</definedName>
    <definedName name="sch_sp_se_num_g4_aerogymn_ip">'[1]XI. Table 2'!$AT$22</definedName>
    <definedName name="sch_sp_se_num_g4_aerogymn_lwd">'[1]XI. Table 2'!$AV$22</definedName>
    <definedName name="sch_sp_se_num_g4_aerogymn_m">'[1]XI. Table 2'!$AP$22</definedName>
    <definedName name="sch_sp_se_num_g4_archery_f">'[1]XI. Table 2'!$AR$9</definedName>
    <definedName name="sch_sp_se_num_g4_archery_ip">'[1]XI. Table 2'!$AT$9</definedName>
    <definedName name="sch_sp_se_num_g4_archery_lwd">'[1]XI. Table 2'!$AV$9</definedName>
    <definedName name="sch_sp_se_num_g4_archery_m">'[1]XI. Table 2'!$AP$9</definedName>
    <definedName name="sch_sp_se_num_g4_arnis_f">'[1]XI. Table 2'!$AR$10</definedName>
    <definedName name="sch_sp_se_num_g4_arnis_ip">'[1]XI. Table 2'!$AT$10</definedName>
    <definedName name="sch_sp_se_num_g4_arnis_lwd">'[1]XI. Table 2'!$AV$10</definedName>
    <definedName name="sch_sp_se_num_g4_arnis_m">'[1]XI. Table 2'!$AP$10</definedName>
    <definedName name="sch_sp_se_num_g4_athleticsparagame_f">'[1]XI. Table 2'!$AR$37</definedName>
    <definedName name="sch_sp_se_num_g4_athleticsparagame_ip">'[1]XI. Table 2'!$AT$37</definedName>
    <definedName name="sch_sp_se_num_g4_athleticsparagame_lwd">'[1]XI. Table 2'!$AV$37</definedName>
    <definedName name="sch_sp_se_num_g4_athleticsparagame_m">'[1]XI. Table 2'!$AP$37</definedName>
    <definedName name="sch_sp_se_num_g4_athlthrow_f">'[1]XI. Table 2'!$AR$11</definedName>
    <definedName name="sch_sp_se_num_g4_athlthrow_ip">'[1]XI. Table 2'!$AT$11</definedName>
    <definedName name="sch_sp_se_num_g4_athlthrow_lwd">'[1]XI. Table 2'!$AV$11</definedName>
    <definedName name="sch_sp_se_num_g4_athlthrow_m">'[1]XI. Table 2'!$AP$11</definedName>
    <definedName name="sch_sp_se_num_g4_athltrun_f">'[1]XI. Table 2'!$AR$12</definedName>
    <definedName name="sch_sp_se_num_g4_athltrun_ip">'[1]XI. Table 2'!$AT$12</definedName>
    <definedName name="sch_sp_se_num_g4_athltrun_lwd">'[1]XI. Table 2'!$AV$12</definedName>
    <definedName name="sch_sp_se_num_g4_athltrun_m">'[1]XI. Table 2'!$AP$12</definedName>
    <definedName name="sch_sp_se_num_g4_badminton_f">'[1]XI. Table 2'!$AR$13</definedName>
    <definedName name="sch_sp_se_num_g4_badminton_ip">'[1]XI. Table 2'!$AT$13</definedName>
    <definedName name="sch_sp_se_num_g4_badminton_lwd">'[1]XI. Table 2'!$AV$13</definedName>
    <definedName name="sch_sp_se_num_g4_badminton_m">'[1]XI. Table 2'!$AP$13</definedName>
    <definedName name="sch_sp_se_num_g4_baseball_f">'[1]XI. Table 2'!$AR$15</definedName>
    <definedName name="sch_sp_se_num_g4_baseball_ip">'[1]XI. Table 2'!$AT$15</definedName>
    <definedName name="sch_sp_se_num_g4_baseball_lwd">'[1]XI. Table 2'!$AV$15</definedName>
    <definedName name="sch_sp_se_num_g4_baseball_m">'[1]XI. Table 2'!$AP$15</definedName>
    <definedName name="sch_sp_se_num_g4_basketball_f">'[1]XI. Table 2'!$AR$14</definedName>
    <definedName name="sch_sp_se_num_g4_basketball_ip">'[1]XI. Table 2'!$AT$14</definedName>
    <definedName name="sch_sp_se_num_g4_basketball_lwd">'[1]XI. Table 2'!$AV$14</definedName>
    <definedName name="sch_sp_se_num_g4_basketball_m">'[1]XI. Table 2'!$AP$14</definedName>
    <definedName name="sch_sp_se_num_g4_billiards_f">'[1]XI. Table 2'!$AR$16</definedName>
    <definedName name="sch_sp_se_num_g4_billiards_ip">'[1]XI. Table 2'!$AT$16</definedName>
    <definedName name="sch_sp_se_num_g4_billiards_lwd">'[1]XI. Table 2'!$AV$16</definedName>
    <definedName name="sch_sp_se_num_g4_billiards_m">'[1]XI. Table 2'!$AP$16</definedName>
    <definedName name="sch_sp_se_num_g4_bocce_f">'[1]XI. Table 2'!$AR$40</definedName>
    <definedName name="sch_sp_se_num_g4_bocce_ip">'[1]XI. Table 2'!$AT$40</definedName>
    <definedName name="sch_sp_se_num_g4_bocce_lwd">'[1]XI. Table 2'!$AV$40</definedName>
    <definedName name="sch_sp_se_num_g4_bocce_m">'[1]XI. Table 2'!$AP$40</definedName>
    <definedName name="sch_sp_se_num_g4_boxing_f">'[1]XI. Table 2'!$AR$17</definedName>
    <definedName name="sch_sp_se_num_g4_boxing_ip">'[1]XI. Table 2'!$AT$17</definedName>
    <definedName name="sch_sp_se_num_g4_boxing_lwd">'[1]XI. Table 2'!$AV$17</definedName>
    <definedName name="sch_sp_se_num_g4_boxing_m">'[1]XI. Table 2'!$AP$17</definedName>
    <definedName name="sch_sp_se_num_g4_chess_f">'[1]XI. Table 2'!$AR$18</definedName>
    <definedName name="sch_sp_se_num_g4_chess_ip">'[1]XI. Table 2'!$AT$18</definedName>
    <definedName name="sch_sp_se_num_g4_chess_lwd">'[1]XI. Table 2'!$AV$18</definedName>
    <definedName name="sch_sp_se_num_g4_chess_m">'[1]XI. Table 2'!$AP$18</definedName>
    <definedName name="sch_sp_se_num_g4_dancesports_f">'[1]XI. Table 2'!$AR$19</definedName>
    <definedName name="sch_sp_se_num_g4_dancesports_ip">'[1]XI. Table 2'!$AT$19</definedName>
    <definedName name="sch_sp_se_num_g4_dancesports_lwd">'[1]XI. Table 2'!$AV$19</definedName>
    <definedName name="sch_sp_se_num_g4_dancesports_m">'[1]XI. Table 2'!$AP$19</definedName>
    <definedName name="sch_sp_se_num_g4_football_f">'[1]XI. Table 2'!$AR$20</definedName>
    <definedName name="sch_sp_se_num_g4_football_ip">'[1]XI. Table 2'!$AT$20</definedName>
    <definedName name="sch_sp_se_num_g4_football_lwd">'[1]XI. Table 2'!$AV$20</definedName>
    <definedName name="sch_sp_se_num_g4_football_m">'[1]XI. Table 2'!$AP$20</definedName>
    <definedName name="sch_sp_se_num_g4_futsal_f">'[1]XI. Table 2'!$AR$21</definedName>
    <definedName name="sch_sp_se_num_g4_futsal_ip">'[1]XI. Table 2'!$AT$21</definedName>
    <definedName name="sch_sp_se_num_g4_futsal_lwd">'[1]XI. Table 2'!$AV$21</definedName>
    <definedName name="sch_sp_se_num_g4_futsal_m">'[1]XI. Table 2'!$AP$21</definedName>
    <definedName name="sch_sp_se_num_g4_goalball_f">'[1]XI. Table 2'!$AR$39</definedName>
    <definedName name="sch_sp_se_num_g4_goalball_ip">'[1]XI. Table 2'!$AT$39</definedName>
    <definedName name="sch_sp_se_num_g4_goalball_lwd">'[1]XI. Table 2'!$AV$39</definedName>
    <definedName name="sch_sp_se_num_g4_goalball_m">'[1]XI. Table 2'!$AP$39</definedName>
    <definedName name="sch_sp_se_num_g4_mag_f">'[1]XI. Table 2'!$AR$23</definedName>
    <definedName name="sch_sp_se_num_g4_mag_ip">'[1]XI. Table 2'!$AT$23</definedName>
    <definedName name="sch_sp_se_num_g4_mag_lwd">'[1]XI. Table 2'!$AV$23</definedName>
    <definedName name="sch_sp_se_num_g4_mag_m">'[1]XI. Table 2'!$AP$23</definedName>
    <definedName name="sch_sp_se_num_g4_othersports_f">'[1]XI. Table 2'!$AR$43</definedName>
    <definedName name="sch_sp_se_num_g4_othersports_ip">'[1]XI. Table 2'!$AT$43</definedName>
    <definedName name="sch_sp_se_num_g4_othersports_lwd">'[1]XI. Table 2'!$AV$43</definedName>
    <definedName name="sch_sp_se_num_g4_othersports_m">'[1]XI. Table 2'!$AP$43</definedName>
    <definedName name="sch_sp_se_num_g4_pencak_f">'[1]XI. Table 2'!$AR$26</definedName>
    <definedName name="sch_sp_se_num_g4_pencak_ip">'[1]XI. Table 2'!$AT$26</definedName>
    <definedName name="sch_sp_se_num_g4_pencak_lwd">'[1]XI. Table 2'!$AV$26</definedName>
    <definedName name="sch_sp_se_num_g4_pencak_m">'[1]XI. Table 2'!$AP$26</definedName>
    <definedName name="sch_sp_se_num_g4_phgames_f">'[1]XI. Table 2'!$AR$41</definedName>
    <definedName name="sch_sp_se_num_g4_phgames_ip">'[1]XI. Table 2'!$AT$41</definedName>
    <definedName name="sch_sp_se_num_g4_phgames_lwd">'[1]XI. Table 2'!$AV$41</definedName>
    <definedName name="sch_sp_se_num_g4_phgames_m">'[1]XI. Table 2'!$AP$41</definedName>
    <definedName name="sch_sp_se_num_g4_rg_f">'[1]XI. Table 2'!$AR$25</definedName>
    <definedName name="sch_sp_se_num_g4_rg_ip">'[1]XI. Table 2'!$AT$25</definedName>
    <definedName name="sch_sp_se_num_g4_rg_lwd">'[1]XI. Table 2'!$AV$25</definedName>
    <definedName name="sch_sp_se_num_g4_rg_m">'[1]XI. Table 2'!$AP$25</definedName>
    <definedName name="sch_sp_se_num_g4_sepaktakraw_f">'[1]XI. Table 2'!$AR$27</definedName>
    <definedName name="sch_sp_se_num_g4_sepaktakraw_ip">'[1]XI. Table 2'!$AT$27</definedName>
    <definedName name="sch_sp_se_num_g4_sepaktakraw_lwd">'[1]XI. Table 2'!$AV$27</definedName>
    <definedName name="sch_sp_se_num_g4_sepaktakraw_m">'[1]XI. Table 2'!$AP$27</definedName>
    <definedName name="sch_sp_se_num_g4_softball_f">'[1]XI. Table 2'!$AR$28</definedName>
    <definedName name="sch_sp_se_num_g4_softball_ip">'[1]XI. Table 2'!$AT$28</definedName>
    <definedName name="sch_sp_se_num_g4_softball_lwd">'[1]XI. Table 2'!$AV$28</definedName>
    <definedName name="sch_sp_se_num_g4_softball_m">'[1]XI. Table 2'!$AP$28</definedName>
    <definedName name="sch_sp_se_num_g4_swimming_f">'[1]XI. Table 2'!$AR$29</definedName>
    <definedName name="sch_sp_se_num_g4_swimming_ip">'[1]XI. Table 2'!$AT$29</definedName>
    <definedName name="sch_sp_se_num_g4_swimming_lwd">'[1]XI. Table 2'!$AV$29</definedName>
    <definedName name="sch_sp_se_num_g4_swimming_m">'[1]XI. Table 2'!$AP$29</definedName>
    <definedName name="sch_sp_se_num_g4_swimmingparagame_f">'[1]XI. Table 2'!$AR$38</definedName>
    <definedName name="sch_sp_se_num_g4_swimmingparagame_ip">'[1]XI. Table 2'!$AT$38</definedName>
    <definedName name="sch_sp_se_num_g4_swimmingparagame_lwd">'[1]XI. Table 2'!$AV$38</definedName>
    <definedName name="sch_sp_se_num_g4_swimmingparagame_m">'[1]XI. Table 2'!$AP$38</definedName>
    <definedName name="sch_sp_se_num_g4_tabletennis_f">'[1]XI. Table 2'!$AR$30</definedName>
    <definedName name="sch_sp_se_num_g4_tabletennis_ip">'[1]XI. Table 2'!$AT$30</definedName>
    <definedName name="sch_sp_se_num_g4_tabletennis_lwd">'[1]XI. Table 2'!$AV$30</definedName>
    <definedName name="sch_sp_se_num_g4_tabletennis_m">'[1]XI. Table 2'!$AP$30</definedName>
    <definedName name="sch_sp_se_num_g4_taekwondo_f">'[1]XI. Table 2'!$AR$31</definedName>
    <definedName name="sch_sp_se_num_g4_taekwondo_ip">'[1]XI. Table 2'!$AT$31</definedName>
    <definedName name="sch_sp_se_num_g4_taekwondo_lwd">'[1]XI. Table 2'!$AV$31</definedName>
    <definedName name="sch_sp_se_num_g4_taekwondo_m">'[1]XI. Table 2'!$AP$31</definedName>
    <definedName name="sch_sp_se_num_g4_tennis_f">'[1]XI. Table 2'!$AR$32</definedName>
    <definedName name="sch_sp_se_num_g4_tennis_ip">'[1]XI. Table 2'!$AT$32</definedName>
    <definedName name="sch_sp_se_num_g4_tennis_lwd">'[1]XI. Table 2'!$AV$32</definedName>
    <definedName name="sch_sp_se_num_g4_tennis_m">'[1]XI. Table 2'!$AP$32</definedName>
    <definedName name="sch_sp_se_num_g4_volleyball_f">'[1]XI. Table 2'!$AR$33</definedName>
    <definedName name="sch_sp_se_num_g4_volleyball_ip">'[1]XI. Table 2'!$AT$33</definedName>
    <definedName name="sch_sp_se_num_g4_volleyball_lwd">'[1]XI. Table 2'!$AV$33</definedName>
    <definedName name="sch_sp_se_num_g4_volleyball_m">'[1]XI. Table 2'!$AP$33</definedName>
    <definedName name="sch_sp_se_num_g4_wag_f">'[1]XI. Table 2'!$AR$24</definedName>
    <definedName name="sch_sp_se_num_g4_wag_ip">'[1]XI. Table 2'!$AT$24</definedName>
    <definedName name="sch_sp_se_num_g4_wag_lwd">'[1]XI. Table 2'!$AV$24</definedName>
    <definedName name="sch_sp_se_num_g4_wag_m">'[1]XI. Table 2'!$AP$24</definedName>
    <definedName name="sch_sp_se_num_g4_weightlifting_f">'[1]XI. Table 2'!$AR$34</definedName>
    <definedName name="sch_sp_se_num_g4_weightlifting_ip">'[1]XI. Table 2'!$AT$34</definedName>
    <definedName name="sch_sp_se_num_g4_weightlifting_lwd">'[1]XI. Table 2'!$AV$34</definedName>
    <definedName name="sch_sp_se_num_g4_weightlifting_m">'[1]XI. Table 2'!$AP$34</definedName>
    <definedName name="sch_sp_se_num_g4_wrestling_f">'[1]XI. Table 2'!$AR$35</definedName>
    <definedName name="sch_sp_se_num_g4_wrestling_ip">'[1]XI. Table 2'!$AT$35</definedName>
    <definedName name="sch_sp_se_num_g4_wrestling_lwd">'[1]XI. Table 2'!$AV$35</definedName>
    <definedName name="sch_sp_se_num_g4_wrestling_m">'[1]XI. Table 2'!$AP$35</definedName>
    <definedName name="sch_sp_se_num_g4_wushu_f">'[1]XI. Table 2'!$AR$36</definedName>
    <definedName name="sch_sp_se_num_g4_wushu_ip">'[1]XI. Table 2'!$AT$36</definedName>
    <definedName name="sch_sp_se_num_g4_wushu_lwd">'[1]XI. Table 2'!$AV$36</definedName>
    <definedName name="sch_sp_se_num_g4_wushu_m">'[1]XI. Table 2'!$AP$36</definedName>
    <definedName name="sch_sp_se_num_g5_aerogymn_f">'[1]XI. Table 2'!$AZ$22</definedName>
    <definedName name="sch_sp_se_num_g5_aerogymn_ip">'[1]XI. Table 2'!$BB$22</definedName>
    <definedName name="sch_sp_se_num_g5_aerogymn_lwd">'[1]XI. Table 2'!$BD$22</definedName>
    <definedName name="sch_sp_se_num_g5_aerogymn_m">'[1]XI. Table 2'!$AX$22</definedName>
    <definedName name="sch_sp_se_num_g5_archery_f">'[1]XI. Table 2'!$AZ$9</definedName>
    <definedName name="sch_sp_se_num_g5_archery_ip">'[1]XI. Table 2'!$BB$9</definedName>
    <definedName name="sch_sp_se_num_g5_archery_lwd">'[1]XI. Table 2'!$BD$9</definedName>
    <definedName name="sch_sp_se_num_g5_archery_m">'[1]XI. Table 2'!$AX$9</definedName>
    <definedName name="sch_sp_se_num_g5_arnis_f">'[1]XI. Table 2'!$AZ$10</definedName>
    <definedName name="sch_sp_se_num_g5_arnis_ip">'[1]XI. Table 2'!$BB$10</definedName>
    <definedName name="sch_sp_se_num_g5_arnis_lwd">'[1]XI. Table 2'!$BD$10</definedName>
    <definedName name="sch_sp_se_num_g5_arnis_m">'[1]XI. Table 2'!$AX$10</definedName>
    <definedName name="sch_sp_se_num_g5_athleticsparagame_f">'[1]XI. Table 2'!$AZ$37</definedName>
    <definedName name="sch_sp_se_num_g5_athleticsparagame_ip">'[1]XI. Table 2'!$BB$37</definedName>
    <definedName name="sch_sp_se_num_g5_athleticsparagame_lwd">'[1]XI. Table 2'!$BD$37</definedName>
    <definedName name="sch_sp_se_num_g5_athleticsparagame_m">'[1]XI. Table 2'!$AX$37</definedName>
    <definedName name="sch_sp_se_num_g5_athlthrow_f">'[1]XI. Table 2'!$AZ$11</definedName>
    <definedName name="sch_sp_se_num_g5_athlthrow_ip">'[1]XI. Table 2'!$BB$11</definedName>
    <definedName name="sch_sp_se_num_g5_athlthrow_lwd">'[1]XI. Table 2'!$BD$11</definedName>
    <definedName name="sch_sp_se_num_g5_athlthrow_m">'[1]XI. Table 2'!$AX$11</definedName>
    <definedName name="sch_sp_se_num_g5_athltrun_f">'[1]XI. Table 2'!$AZ$12</definedName>
    <definedName name="sch_sp_se_num_g5_athltrun_ip">'[1]XI. Table 2'!$BB$12</definedName>
    <definedName name="sch_sp_se_num_g5_athltrun_lwd">'[1]XI. Table 2'!$BD$12</definedName>
    <definedName name="sch_sp_se_num_g5_athltrun_m">'[1]XI. Table 2'!$AX$12</definedName>
    <definedName name="sch_sp_se_num_g5_badminton_f">'[1]XI. Table 2'!$AZ$13</definedName>
    <definedName name="sch_sp_se_num_g5_badminton_ip">'[1]XI. Table 2'!$BB$13</definedName>
    <definedName name="sch_sp_se_num_g5_badminton_lwd">'[1]XI. Table 2'!$BD$13</definedName>
    <definedName name="sch_sp_se_num_g5_badminton_m">'[1]XI. Table 2'!$AX$13</definedName>
    <definedName name="sch_sp_se_num_g5_baseball_f">'[1]XI. Table 2'!$AZ$15</definedName>
    <definedName name="sch_sp_se_num_g5_baseball_ip">'[1]XI. Table 2'!$BB$15</definedName>
    <definedName name="sch_sp_se_num_g5_baseball_lwd">'[1]XI. Table 2'!$BD$15</definedName>
    <definedName name="sch_sp_se_num_g5_baseball_m">'[1]XI. Table 2'!$AX$15</definedName>
    <definedName name="sch_sp_se_num_g5_basketball_f">'[1]XI. Table 2'!$AZ$14</definedName>
    <definedName name="sch_sp_se_num_g5_basketball_ip">'[1]XI. Table 2'!$BB$14</definedName>
    <definedName name="sch_sp_se_num_g5_basketball_lwd">'[1]XI. Table 2'!$BD$14</definedName>
    <definedName name="sch_sp_se_num_g5_basketball_m">'[1]XI. Table 2'!$AX$14</definedName>
    <definedName name="sch_sp_se_num_g5_billiards_f">'[1]XI. Table 2'!$AZ$16</definedName>
    <definedName name="sch_sp_se_num_g5_billiards_ip">'[1]XI. Table 2'!$BB$16</definedName>
    <definedName name="sch_sp_se_num_g5_billiards_lwd">'[1]XI. Table 2'!$BD$16</definedName>
    <definedName name="sch_sp_se_num_g5_billiards_m">'[1]XI. Table 2'!$AX$16</definedName>
    <definedName name="sch_sp_se_num_g5_bocce_f">'[1]XI. Table 2'!$AZ$40</definedName>
    <definedName name="sch_sp_se_num_g5_bocce_ip">'[1]XI. Table 2'!$BB$40</definedName>
    <definedName name="sch_sp_se_num_g5_bocce_lwd">'[1]XI. Table 2'!$BD$40</definedName>
    <definedName name="sch_sp_se_num_g5_bocce_m">'[1]XI. Table 2'!$AX$40</definedName>
    <definedName name="sch_sp_se_num_g5_boxing_f">'[1]XI. Table 2'!$AZ$17</definedName>
    <definedName name="sch_sp_se_num_g5_boxing_ip">'[1]XI. Table 2'!$BB$17</definedName>
    <definedName name="sch_sp_se_num_g5_boxing_lwd">'[1]XI. Table 2'!$BD$17</definedName>
    <definedName name="sch_sp_se_num_g5_boxing_m">'[1]XI. Table 2'!$AX$17</definedName>
    <definedName name="sch_sp_se_num_g5_chess_f">'[1]XI. Table 2'!$AZ$18</definedName>
    <definedName name="sch_sp_se_num_g5_chess_ip">'[1]XI. Table 2'!$BB$18</definedName>
    <definedName name="sch_sp_se_num_g5_chess_lwd">'[1]XI. Table 2'!$BD$18</definedName>
    <definedName name="sch_sp_se_num_g5_chess_m">'[1]XI. Table 2'!$AX$18</definedName>
    <definedName name="sch_sp_se_num_g5_dancesports_f">'[1]XI. Table 2'!$AZ$19</definedName>
    <definedName name="sch_sp_se_num_g5_dancesports_ip">'[1]XI. Table 2'!$BB$19</definedName>
    <definedName name="sch_sp_se_num_g5_dancesports_lwd">'[1]XI. Table 2'!$BD$19</definedName>
    <definedName name="sch_sp_se_num_g5_dancesports_m">'[1]XI. Table 2'!$AX$19</definedName>
    <definedName name="sch_sp_se_num_g5_football_f">'[1]XI. Table 2'!$AZ$20</definedName>
    <definedName name="sch_sp_se_num_g5_football_ip">'[1]XI. Table 2'!$BB$20</definedName>
    <definedName name="sch_sp_se_num_g5_football_lwd">'[1]XI. Table 2'!$BD$20</definedName>
    <definedName name="sch_sp_se_num_g5_football_m">'[1]XI. Table 2'!$AX$20</definedName>
    <definedName name="sch_sp_se_num_g5_futsal_f">'[1]XI. Table 2'!$AZ$21</definedName>
    <definedName name="sch_sp_se_num_g5_futsal_ip">'[1]XI. Table 2'!$BB$21</definedName>
    <definedName name="sch_sp_se_num_g5_futsal_lwd">'[1]XI. Table 2'!$BD$21</definedName>
    <definedName name="sch_sp_se_num_g5_futsal_m">'[1]XI. Table 2'!$AX$21</definedName>
    <definedName name="sch_sp_se_num_g5_goalball_f">'[1]XI. Table 2'!$AZ$39</definedName>
    <definedName name="sch_sp_se_num_g5_goalball_ip">'[1]XI. Table 2'!$BB$39</definedName>
    <definedName name="sch_sp_se_num_g5_goalball_lwd">'[1]XI. Table 2'!$BD$39</definedName>
    <definedName name="sch_sp_se_num_g5_goalball_m">'[1]XI. Table 2'!$AX$39</definedName>
    <definedName name="sch_sp_se_num_g5_mag_f">'[1]XI. Table 2'!$AZ$23</definedName>
    <definedName name="sch_sp_se_num_g5_mag_ip">'[1]XI. Table 2'!$BB$23</definedName>
    <definedName name="sch_sp_se_num_g5_mag_lwd">'[1]XI. Table 2'!$BD$23</definedName>
    <definedName name="sch_sp_se_num_g5_mag_m">'[1]XI. Table 2'!$AX$23</definedName>
    <definedName name="sch_sp_se_num_g5_othersports_f">'[1]XI. Table 2'!$AZ$43</definedName>
    <definedName name="sch_sp_se_num_g5_othersports_ip">'[1]XI. Table 2'!$BB$43</definedName>
    <definedName name="sch_sp_se_num_g5_othersports_lwd">'[1]XI. Table 2'!$BD$43</definedName>
    <definedName name="sch_sp_se_num_g5_othersports_m">'[1]XI. Table 2'!$AX$43</definedName>
    <definedName name="sch_sp_se_num_g5_pencak_f">'[1]XI. Table 2'!$AZ$26</definedName>
    <definedName name="sch_sp_se_num_g5_pencak_ip">'[1]XI. Table 2'!$BB$26</definedName>
    <definedName name="sch_sp_se_num_g5_pencak_lwd">'[1]XI. Table 2'!$BD$26</definedName>
    <definedName name="sch_sp_se_num_g5_pencak_m">'[1]XI. Table 2'!$AX$26</definedName>
    <definedName name="sch_sp_se_num_g5_phgames_f">'[1]XI. Table 2'!$AZ$41</definedName>
    <definedName name="sch_sp_se_num_g5_phgames_ip">'[1]XI. Table 2'!$BB$41</definedName>
    <definedName name="sch_sp_se_num_g5_phgames_lwd">'[1]XI. Table 2'!$BD$41</definedName>
    <definedName name="sch_sp_se_num_g5_phgames_m">'[1]XI. Table 2'!$AX$41</definedName>
    <definedName name="sch_sp_se_num_g5_rg_f">'[1]XI. Table 2'!$AZ$25</definedName>
    <definedName name="sch_sp_se_num_g5_rg_ip">'[1]XI. Table 2'!$BB$25</definedName>
    <definedName name="sch_sp_se_num_g5_rg_lwd">'[1]XI. Table 2'!$BD$25</definedName>
    <definedName name="sch_sp_se_num_g5_rg_m">'[1]XI. Table 2'!$AX$25</definedName>
    <definedName name="sch_sp_se_num_g5_sepaktakraw_f">'[1]XI. Table 2'!$AZ$27</definedName>
    <definedName name="sch_sp_se_num_g5_sepaktakraw_ip">'[1]XI. Table 2'!$BB$27</definedName>
    <definedName name="sch_sp_se_num_g5_sepaktakraw_lwd">'[1]XI. Table 2'!$BD$27</definedName>
    <definedName name="sch_sp_se_num_g5_sepaktakraw_m">'[1]XI. Table 2'!$AX$27</definedName>
    <definedName name="sch_sp_se_num_g5_softball_f">'[1]XI. Table 2'!$AZ$28</definedName>
    <definedName name="sch_sp_se_num_g5_softball_ip">'[1]XI. Table 2'!$BB$28</definedName>
    <definedName name="sch_sp_se_num_g5_softball_lwd">'[1]XI. Table 2'!$BD$28</definedName>
    <definedName name="sch_sp_se_num_g5_softball_m">'[1]XI. Table 2'!$AX$28</definedName>
    <definedName name="sch_sp_se_num_g5_swimming_f">'[1]XI. Table 2'!$AZ$29</definedName>
    <definedName name="sch_sp_se_num_g5_swimming_ip">'[1]XI. Table 2'!$BB$29</definedName>
    <definedName name="sch_sp_se_num_g5_swimming_lwd">'[1]XI. Table 2'!$BD$29</definedName>
    <definedName name="sch_sp_se_num_g5_swimming_m">'[1]XI. Table 2'!$AX$29</definedName>
    <definedName name="sch_sp_se_num_g5_swimmingparagame_f">'[1]XI. Table 2'!$AZ$38</definedName>
    <definedName name="sch_sp_se_num_g5_swimmingparagame_ip">'[1]XI. Table 2'!$BB$38</definedName>
    <definedName name="sch_sp_se_num_g5_swimmingparagame_lwd">'[1]XI. Table 2'!$BD$38</definedName>
    <definedName name="sch_sp_se_num_g5_swimmingparagame_m">'[1]XI. Table 2'!$AX$38</definedName>
    <definedName name="sch_sp_se_num_g5_tabletennis_f">'[1]XI. Table 2'!$AZ$30</definedName>
    <definedName name="sch_sp_se_num_g5_tabletennis_ip">'[1]XI. Table 2'!$BB$30</definedName>
    <definedName name="sch_sp_se_num_g5_tabletennis_lwd">'[1]XI. Table 2'!$BD$30</definedName>
    <definedName name="sch_sp_se_num_g5_tabletennis_m">'[1]XI. Table 2'!$AX$30</definedName>
    <definedName name="sch_sp_se_num_g5_taekwondo_f">'[1]XI. Table 2'!$AZ$31</definedName>
    <definedName name="sch_sp_se_num_g5_taekwondo_ip">'[1]XI. Table 2'!$BB$31</definedName>
    <definedName name="sch_sp_se_num_g5_taekwondo_lwd">'[1]XI. Table 2'!$BD$31</definedName>
    <definedName name="sch_sp_se_num_g5_taekwondo_m">'[1]XI. Table 2'!$AX$31</definedName>
    <definedName name="sch_sp_se_num_g5_tennis_f">'[1]XI. Table 2'!$AZ$32</definedName>
    <definedName name="sch_sp_se_num_g5_tennis_ip">'[1]XI. Table 2'!$BB$32</definedName>
    <definedName name="sch_sp_se_num_g5_tennis_lwd">'[1]XI. Table 2'!$BD$32</definedName>
    <definedName name="sch_sp_se_num_g5_tennis_m">'[1]XI. Table 2'!$AX$32</definedName>
    <definedName name="sch_sp_se_num_g5_volleyball_f">'[1]XI. Table 2'!$AZ$33</definedName>
    <definedName name="sch_sp_se_num_g5_volleyball_ip">'[1]XI. Table 2'!$BB$33</definedName>
    <definedName name="sch_sp_se_num_g5_volleyball_lwd">'[1]XI. Table 2'!$BD$33</definedName>
    <definedName name="sch_sp_se_num_g5_volleyball_m">'[1]XI. Table 2'!$AX$33</definedName>
    <definedName name="sch_sp_se_num_g5_wag_f">'[1]XI. Table 2'!$AZ$24</definedName>
    <definedName name="sch_sp_se_num_g5_wag_ip">'[1]XI. Table 2'!$BB$24</definedName>
    <definedName name="sch_sp_se_num_g5_wag_lwd">'[1]XI. Table 2'!$BD$24</definedName>
    <definedName name="sch_sp_se_num_g5_wag_m">'[1]XI. Table 2'!$AX$24</definedName>
    <definedName name="sch_sp_se_num_g5_weightlifting_f">'[1]XI. Table 2'!$AZ$34</definedName>
    <definedName name="sch_sp_se_num_g5_weightlifting_ip">'[1]XI. Table 2'!$BB$34</definedName>
    <definedName name="sch_sp_se_num_g5_weightlifting_lwd">'[1]XI. Table 2'!$BD$34</definedName>
    <definedName name="sch_sp_se_num_g5_weightlifting_m">'[1]XI. Table 2'!$AX$34</definedName>
    <definedName name="sch_sp_se_num_g5_wrestling_f">'[1]XI. Table 2'!$AZ$35</definedName>
    <definedName name="sch_sp_se_num_g5_wrestling_ip">'[1]XI. Table 2'!$BB$35</definedName>
    <definedName name="sch_sp_se_num_g5_wrestling_lwd">'[1]XI. Table 2'!$BD$35</definedName>
    <definedName name="sch_sp_se_num_g5_wrestling_m">'[1]XI. Table 2'!$AX$35</definedName>
    <definedName name="sch_sp_se_num_g5_wushu_f">'[1]XI. Table 2'!$AZ$36</definedName>
    <definedName name="sch_sp_se_num_g5_wushu_ip">'[1]XI. Table 2'!$BB$36</definedName>
    <definedName name="sch_sp_se_num_g5_wushu_lwd">'[1]XI. Table 2'!$BD$36</definedName>
    <definedName name="sch_sp_se_num_g5_wushu_m">'[1]XI. Table 2'!$AX$36</definedName>
    <definedName name="sch_sp_se_num_g6_aerogymn_f">'[1]XI. Table 2'!$BH$22</definedName>
    <definedName name="sch_sp_se_num_g6_aerogymn_ip">'[1]XI. Table 2'!$BJ$22</definedName>
    <definedName name="sch_sp_se_num_g6_aerogymn_lwd">'[1]XI. Table 2'!$BL$22</definedName>
    <definedName name="sch_sp_se_num_g6_aerogymn_m">'[1]XI. Table 2'!$BF$22</definedName>
    <definedName name="sch_sp_se_num_g6_archery_f">'[1]XI. Table 2'!$BH$9</definedName>
    <definedName name="sch_sp_se_num_g6_archery_ip">'[1]XI. Table 2'!$BJ$9</definedName>
    <definedName name="sch_sp_se_num_g6_archery_lwd">'[1]XI. Table 2'!$BL$9</definedName>
    <definedName name="sch_sp_se_num_g6_archery_m">'[1]XI. Table 2'!$BF$9</definedName>
    <definedName name="sch_sp_se_num_g6_arnis_f">'[1]XI. Table 2'!$BH$10</definedName>
    <definedName name="sch_sp_se_num_g6_arnis_ip">'[1]XI. Table 2'!$BJ$10</definedName>
    <definedName name="sch_sp_se_num_g6_arnis_lwd">'[1]XI. Table 2'!$BL$10</definedName>
    <definedName name="sch_sp_se_num_g6_arnis_m">'[1]XI. Table 2'!$BF$10</definedName>
    <definedName name="sch_sp_se_num_g6_athleticsparagame_f">'[1]XI. Table 2'!$BH$37</definedName>
    <definedName name="sch_sp_se_num_g6_athleticsparagame_ip">'[1]XI. Table 2'!$BJ$37</definedName>
    <definedName name="sch_sp_se_num_g6_athleticsparagame_lwd">'[1]XI. Table 2'!$BL$37</definedName>
    <definedName name="sch_sp_se_num_g6_athleticsparagame_m">'[1]XI. Table 2'!$BF$37</definedName>
    <definedName name="sch_sp_se_num_g6_athlthrow_f">'[1]XI. Table 2'!$BH$11</definedName>
    <definedName name="sch_sp_se_num_g6_athlthrow_ip">'[1]XI. Table 2'!$BJ$11</definedName>
    <definedName name="sch_sp_se_num_g6_athlthrow_lwd">'[1]XI. Table 2'!$BL$11</definedName>
    <definedName name="sch_sp_se_num_g6_athlthrow_m">'[1]XI. Table 2'!$BF$11</definedName>
    <definedName name="sch_sp_se_num_g6_athltrun_f">'[1]XI. Table 2'!$BH$12</definedName>
    <definedName name="sch_sp_se_num_g6_athltrun_ip">'[1]XI. Table 2'!$BJ$12</definedName>
    <definedName name="sch_sp_se_num_g6_athltrun_lwd">'[1]XI. Table 2'!$BL$12</definedName>
    <definedName name="sch_sp_se_num_g6_athltrun_m">'[1]XI. Table 2'!$BF$12</definedName>
    <definedName name="sch_sp_se_num_g6_badminton_f">'[1]XI. Table 2'!$BH$13</definedName>
    <definedName name="sch_sp_se_num_g6_badminton_ip">'[1]XI. Table 2'!$BJ$13</definedName>
    <definedName name="sch_sp_se_num_g6_badminton_lwd">'[1]XI. Table 2'!$BL$13</definedName>
    <definedName name="sch_sp_se_num_g6_badminton_m">'[1]XI. Table 2'!$BF$13</definedName>
    <definedName name="sch_sp_se_num_g6_baseball_f">'[1]XI. Table 2'!$BH$15</definedName>
    <definedName name="sch_sp_se_num_g6_baseball_ip">'[1]XI. Table 2'!$BJ$15</definedName>
    <definedName name="sch_sp_se_num_g6_baseball_lwd">'[1]XI. Table 2'!$BL$15</definedName>
    <definedName name="sch_sp_se_num_g6_baseball_m">'[1]XI. Table 2'!$BF$15</definedName>
    <definedName name="sch_sp_se_num_g6_basketball_f">'[1]XI. Table 2'!$BH$14</definedName>
    <definedName name="sch_sp_se_num_g6_basketball_ip">'[1]XI. Table 2'!$BJ$14</definedName>
    <definedName name="sch_sp_se_num_g6_basketball_lwd">'[1]XI. Table 2'!$BL$14</definedName>
    <definedName name="sch_sp_se_num_g6_basketball_m">'[1]XI. Table 2'!$BF$14</definedName>
    <definedName name="sch_sp_se_num_g6_billiards_f">'[1]XI. Table 2'!$BH$16</definedName>
    <definedName name="sch_sp_se_num_g6_billiards_ip">'[1]XI. Table 2'!$BJ$16</definedName>
    <definedName name="sch_sp_se_num_g6_billiards_lwd">'[1]XI. Table 2'!$BL$16</definedName>
    <definedName name="sch_sp_se_num_g6_billiards_m">'[1]XI. Table 2'!$BF$16</definedName>
    <definedName name="sch_sp_se_num_g6_bocce_f">'[1]XI. Table 2'!$BH$40</definedName>
    <definedName name="sch_sp_se_num_g6_bocce_ip">'[1]XI. Table 2'!$BJ$40</definedName>
    <definedName name="sch_sp_se_num_g6_bocce_lwd">'[1]XI. Table 2'!$BL$40</definedName>
    <definedName name="sch_sp_se_num_g6_bocce_m">'[1]XI. Table 2'!$BF$40</definedName>
    <definedName name="sch_sp_se_num_g6_boxing_f">'[1]XI. Table 2'!$BH$17</definedName>
    <definedName name="sch_sp_se_num_g6_boxing_ip">'[1]XI. Table 2'!$BJ$17</definedName>
    <definedName name="sch_sp_se_num_g6_boxing_lwd">'[1]XI. Table 2'!$BL$17</definedName>
    <definedName name="sch_sp_se_num_g6_boxing_m">'[1]XI. Table 2'!$BF$17</definedName>
    <definedName name="sch_sp_se_num_g6_chess_f">'[1]XI. Table 2'!$BH$18</definedName>
    <definedName name="sch_sp_se_num_g6_chess_ip">'[1]XI. Table 2'!$BJ$18</definedName>
    <definedName name="sch_sp_se_num_g6_chess_lwd">'[1]XI. Table 2'!$BL$18</definedName>
    <definedName name="sch_sp_se_num_g6_chess_m">'[1]XI. Table 2'!$BF$18</definedName>
    <definedName name="sch_sp_se_num_g6_dancesports_f">'[1]XI. Table 2'!$BH$19</definedName>
    <definedName name="sch_sp_se_num_g6_dancesports_ip">'[1]XI. Table 2'!$BJ$19</definedName>
    <definedName name="sch_sp_se_num_g6_dancesports_lwd">'[1]XI. Table 2'!$BL$19</definedName>
    <definedName name="sch_sp_se_num_g6_dancesports_m">'[1]XI. Table 2'!$BF$19</definedName>
    <definedName name="sch_sp_se_num_g6_football_f">'[1]XI. Table 2'!$BH$20</definedName>
    <definedName name="sch_sp_se_num_g6_football_ip">'[1]XI. Table 2'!$BJ$20</definedName>
    <definedName name="sch_sp_se_num_g6_football_lwd">'[1]XI. Table 2'!$BL$20</definedName>
    <definedName name="sch_sp_se_num_g6_football_m">'[1]XI. Table 2'!$BF$20</definedName>
    <definedName name="sch_sp_se_num_g6_futsal_f">'[1]XI. Table 2'!$BH$21</definedName>
    <definedName name="sch_sp_se_num_g6_futsal_ip">'[1]XI. Table 2'!$BJ$21</definedName>
    <definedName name="sch_sp_se_num_g6_futsal_lwd">'[1]XI. Table 2'!$BL$21</definedName>
    <definedName name="sch_sp_se_num_g6_futsal_m">'[1]XI. Table 2'!$BF$21</definedName>
    <definedName name="sch_sp_se_num_g6_goalball_f">'[1]XI. Table 2'!$BH$39</definedName>
    <definedName name="sch_sp_se_num_g6_goalball_ip">'[1]XI. Table 2'!$BJ$39</definedName>
    <definedName name="sch_sp_se_num_g6_goalball_lwd">'[1]XI. Table 2'!$BL$39</definedName>
    <definedName name="sch_sp_se_num_g6_goalball_m">'[1]XI. Table 2'!$BF$39</definedName>
    <definedName name="sch_sp_se_num_g6_mag_f">'[1]XI. Table 2'!$BH$23</definedName>
    <definedName name="sch_sp_se_num_g6_mag_ip">'[1]XI. Table 2'!$BJ$23</definedName>
    <definedName name="sch_sp_se_num_g6_mag_lwd">'[1]XI. Table 2'!$BL$23</definedName>
    <definedName name="sch_sp_se_num_g6_mag_m">'[1]XI. Table 2'!$BF$23</definedName>
    <definedName name="sch_sp_se_num_g6_othersports_f">'[1]XI. Table 2'!$BH$43</definedName>
    <definedName name="sch_sp_se_num_g6_othersports_ip">'[1]XI. Table 2'!$BJ$43</definedName>
    <definedName name="sch_sp_se_num_g6_othersports_lwd">'[1]XI. Table 2'!$BL$43</definedName>
    <definedName name="sch_sp_se_num_g6_othersports_m">'[1]XI. Table 2'!$BF$43</definedName>
    <definedName name="sch_sp_se_num_g6_pencak_f">'[1]XI. Table 2'!$BH$26</definedName>
    <definedName name="sch_sp_se_num_g6_pencak_ip">'[1]XI. Table 2'!$BJ$26</definedName>
    <definedName name="sch_sp_se_num_g6_pencak_lwd">'[1]XI. Table 2'!$BL$26</definedName>
    <definedName name="sch_sp_se_num_g6_pencak_m">'[1]XI. Table 2'!$BF$26</definedName>
    <definedName name="sch_sp_se_num_g6_phgames_f">'[1]XI. Table 2'!$BH$41</definedName>
    <definedName name="sch_sp_se_num_g6_phgames_ip">'[1]XI. Table 2'!$BJ$41</definedName>
    <definedName name="sch_sp_se_num_g6_phgames_lwd">'[1]XI. Table 2'!$BL$41</definedName>
    <definedName name="sch_sp_se_num_g6_phgames_m">'[1]XI. Table 2'!$BF$41</definedName>
    <definedName name="sch_sp_se_num_g6_rg_f">'[1]XI. Table 2'!$BH$25</definedName>
    <definedName name="sch_sp_se_num_g6_rg_ip">'[1]XI. Table 2'!$BJ$25</definedName>
    <definedName name="sch_sp_se_num_g6_rg_lwd">'[1]XI. Table 2'!$BL$25</definedName>
    <definedName name="sch_sp_se_num_g6_rg_m">'[1]XI. Table 2'!$BF$25</definedName>
    <definedName name="sch_sp_se_num_g6_sepaktakraw_f">'[1]XI. Table 2'!$BH$27</definedName>
    <definedName name="sch_sp_se_num_g6_sepaktakraw_ip">'[1]XI. Table 2'!$BJ$27</definedName>
    <definedName name="sch_sp_se_num_g6_sepaktakraw_lwd">'[1]XI. Table 2'!$BL$27</definedName>
    <definedName name="sch_sp_se_num_g6_sepaktakraw_m">'[1]XI. Table 2'!$BF$27</definedName>
    <definedName name="sch_sp_se_num_g6_softball_f">'[1]XI. Table 2'!$BH$28</definedName>
    <definedName name="sch_sp_se_num_g6_softball_ip">'[1]XI. Table 2'!$BJ$28</definedName>
    <definedName name="sch_sp_se_num_g6_softball_lwd">'[1]XI. Table 2'!$BL$28</definedName>
    <definedName name="sch_sp_se_num_g6_softball_m">'[1]XI. Table 2'!$BF$28</definedName>
    <definedName name="sch_sp_se_num_g6_swimming_f">'[1]XI. Table 2'!$BH$29</definedName>
    <definedName name="sch_sp_se_num_g6_swimming_ip">'[1]XI. Table 2'!$BJ$29</definedName>
    <definedName name="sch_sp_se_num_g6_swimming_lwd">'[1]XI. Table 2'!$BL$29</definedName>
    <definedName name="sch_sp_se_num_g6_swimming_m">'[1]XI. Table 2'!$BF$29</definedName>
    <definedName name="sch_sp_se_num_g6_swimmingparagame_f">'[1]XI. Table 2'!$BH$38</definedName>
    <definedName name="sch_sp_se_num_g6_swimmingparagame_ip">'[1]XI. Table 2'!$BJ$38</definedName>
    <definedName name="sch_sp_se_num_g6_swimmingparagame_lwd">'[1]XI. Table 2'!$BL$38</definedName>
    <definedName name="sch_sp_se_num_g6_swimmingparagame_m">'[1]XI. Table 2'!$BF$38</definedName>
    <definedName name="sch_sp_se_num_g6_tabletennis_f">'[1]XI. Table 2'!$BH$30</definedName>
    <definedName name="sch_sp_se_num_g6_tabletennis_ip">'[1]XI. Table 2'!$BJ$30</definedName>
    <definedName name="sch_sp_se_num_g6_tabletennis_lwd">'[1]XI. Table 2'!$BL$30</definedName>
    <definedName name="sch_sp_se_num_g6_tabletennis_m">'[1]XI. Table 2'!$BF$30</definedName>
    <definedName name="sch_sp_se_num_g6_taekwondo_f">'[1]XI. Table 2'!$BH$31</definedName>
    <definedName name="sch_sp_se_num_g6_taekwondo_ip">'[1]XI. Table 2'!$BJ$31</definedName>
    <definedName name="sch_sp_se_num_g6_taekwondo_lwd">'[1]XI. Table 2'!$BL$31</definedName>
    <definedName name="sch_sp_se_num_g6_taekwondo_m">'[1]XI. Table 2'!$BF$31</definedName>
    <definedName name="sch_sp_se_num_g6_tennis_f">'[1]XI. Table 2'!$BH$32</definedName>
    <definedName name="sch_sp_se_num_g6_tennis_ip">'[1]XI. Table 2'!$BJ$32</definedName>
    <definedName name="sch_sp_se_num_g6_tennis_lwd">'[1]XI. Table 2'!$BL$32</definedName>
    <definedName name="sch_sp_se_num_g6_tennis_m">'[1]XI. Table 2'!$BF$32</definedName>
    <definedName name="sch_sp_se_num_g6_volleyball_f">'[1]XI. Table 2'!$BH$33</definedName>
    <definedName name="sch_sp_se_num_g6_volleyball_ip">'[1]XI. Table 2'!$BJ$33</definedName>
    <definedName name="sch_sp_se_num_g6_volleyball_lwd">'[1]XI. Table 2'!$BL$33</definedName>
    <definedName name="sch_sp_se_num_g6_volleyball_m">'[1]XI. Table 2'!$BF$33</definedName>
    <definedName name="sch_sp_se_num_g6_wag_f">'[1]XI. Table 2'!$BH$24</definedName>
    <definedName name="sch_sp_se_num_g6_wag_ip">'[1]XI. Table 2'!$BJ$24</definedName>
    <definedName name="sch_sp_se_num_g6_wag_lwd">'[1]XI. Table 2'!$BL$24</definedName>
    <definedName name="sch_sp_se_num_g6_wag_m">'[1]XI. Table 2'!$BF$24</definedName>
    <definedName name="sch_sp_se_num_g6_weightlifting_f">'[1]XI. Table 2'!$BH$34</definedName>
    <definedName name="sch_sp_se_num_g6_weightlifting_ip">'[1]XI. Table 2'!$BJ$34</definedName>
    <definedName name="sch_sp_se_num_g6_weightlifting_lwd">'[1]XI. Table 2'!$BL$34</definedName>
    <definedName name="sch_sp_se_num_g6_weightlifting_m">'[1]XI. Table 2'!$BF$34</definedName>
    <definedName name="sch_sp_se_num_g6_wrestling_f">'[1]XI. Table 2'!$BH$35</definedName>
    <definedName name="sch_sp_se_num_g6_wrestling_ip">'[1]XI. Table 2'!$BJ$35</definedName>
    <definedName name="sch_sp_se_num_g6_wrestling_lwd">'[1]XI. Table 2'!$BL$35</definedName>
    <definedName name="sch_sp_se_num_g6_wrestling_m">'[1]XI. Table 2'!$BF$35</definedName>
    <definedName name="sch_sp_se_num_g6_wushu_f">'[1]XI. Table 2'!$BH$36</definedName>
    <definedName name="sch_sp_se_num_g6_wushu_ip">'[1]XI. Table 2'!$BJ$36</definedName>
    <definedName name="sch_sp_se_num_g6_wushu_lwd">'[1]XI. Table 2'!$BL$36</definedName>
    <definedName name="sch_sp_se_num_g6_wushu_m">'[1]XI. Table 2'!$BF$36</definedName>
    <definedName name="sch_sp_se_num_g7_aerogymn_f">'[1]XI. Table 2 (cont.)'!$T$23</definedName>
    <definedName name="sch_sp_se_num_g7_aerogymn_ip">'[1]XI. Table 2 (cont.)'!$V$23</definedName>
    <definedName name="sch_sp_se_num_g7_aerogymn_lwd">'[1]XI. Table 2 (cont.)'!$X$23</definedName>
    <definedName name="sch_sp_se_num_g7_aerogymn_m">'[1]XI. Table 2 (cont.)'!$R$23</definedName>
    <definedName name="sch_sp_se_num_g7_archery_f">'[1]XI. Table 2 (cont.)'!$T$10</definedName>
    <definedName name="sch_sp_se_num_g7_archery_ip">'[1]XI. Table 2 (cont.)'!$V$10</definedName>
    <definedName name="sch_sp_se_num_g7_archery_lwd">'[1]XI. Table 2 (cont.)'!$X$10</definedName>
    <definedName name="sch_sp_se_num_g7_archery_m">'[1]XI. Table 2 (cont.)'!$R$10</definedName>
    <definedName name="sch_sp_se_num_g7_arnis_f">'[1]XI. Table 2 (cont.)'!$T$11</definedName>
    <definedName name="sch_sp_se_num_g7_arnis_ip">'[1]XI. Table 2 (cont.)'!$V$11</definedName>
    <definedName name="sch_sp_se_num_g7_arnis_lwd">'[1]XI. Table 2 (cont.)'!$X$11</definedName>
    <definedName name="sch_sp_se_num_g7_arnis_m">'[1]XI. Table 2 (cont.)'!$R$11</definedName>
    <definedName name="sch_sp_se_num_g7_athleticsparagame_f">'[1]XI. Table 2 (cont.)'!$T$38</definedName>
    <definedName name="sch_sp_se_num_g7_athleticsparagame_ip">'[1]XI. Table 2 (cont.)'!$V$38</definedName>
    <definedName name="sch_sp_se_num_g7_athleticsparagame_lwd">'[1]XI. Table 2 (cont.)'!$X$38</definedName>
    <definedName name="sch_sp_se_num_g7_athleticsparagame_m">'[1]XI. Table 2 (cont.)'!$R$38</definedName>
    <definedName name="sch_sp_se_num_g7_athlthrow_f">'[1]XI. Table 2 (cont.)'!$T$12</definedName>
    <definedName name="sch_sp_se_num_g7_athlthrow_ip">'[1]XI. Table 2 (cont.)'!$V$12</definedName>
    <definedName name="sch_sp_se_num_g7_athlthrow_lwd">'[1]XI. Table 2 (cont.)'!$X$12</definedName>
    <definedName name="sch_sp_se_num_g7_athlthrow_m">'[1]XI. Table 2 (cont.)'!$R$12</definedName>
    <definedName name="sch_sp_se_num_g7_athltrun_f">'[1]XI. Table 2 (cont.)'!$T$13</definedName>
    <definedName name="sch_sp_se_num_g7_athltrun_ip">'[1]XI. Table 2 (cont.)'!$V$13</definedName>
    <definedName name="sch_sp_se_num_g7_athltrun_lwd">'[1]XI. Table 2 (cont.)'!$X$13</definedName>
    <definedName name="sch_sp_se_num_g7_athltrun_m">'[1]XI. Table 2 (cont.)'!$R$13</definedName>
    <definedName name="sch_sp_se_num_g7_badminton_f">'[1]XI. Table 2 (cont.)'!$T$14</definedName>
    <definedName name="sch_sp_se_num_g7_badminton_ip">'[1]XI. Table 2 (cont.)'!$V$14</definedName>
    <definedName name="sch_sp_se_num_g7_badminton_lwd">'[1]XI. Table 2 (cont.)'!$X$14</definedName>
    <definedName name="sch_sp_se_num_g7_badminton_m">'[1]XI. Table 2 (cont.)'!$R$14</definedName>
    <definedName name="sch_sp_se_num_g7_baseball_f">'[1]XI. Table 2 (cont.)'!$T$16</definedName>
    <definedName name="sch_sp_se_num_g7_baseball_ip">'[1]XI. Table 2 (cont.)'!$V$16</definedName>
    <definedName name="sch_sp_se_num_g7_baseball_lwd">'[1]XI. Table 2 (cont.)'!$X$16</definedName>
    <definedName name="sch_sp_se_num_g7_baseball_m">'[1]XI. Table 2 (cont.)'!$R$16</definedName>
    <definedName name="sch_sp_se_num_g7_basketball_f">'[1]XI. Table 2 (cont.)'!$T$15</definedName>
    <definedName name="sch_sp_se_num_g7_basketball_ip">'[1]XI. Table 2 (cont.)'!$V$15</definedName>
    <definedName name="sch_sp_se_num_g7_basketball_lwd">'[1]XI. Table 2 (cont.)'!$X$15</definedName>
    <definedName name="sch_sp_se_num_g7_basketball_m">'[1]XI. Table 2 (cont.)'!$R$15</definedName>
    <definedName name="sch_sp_se_num_g7_billiards_f">'[1]XI. Table 2 (cont.)'!$T$17</definedName>
    <definedName name="sch_sp_se_num_g7_billiards_ip">'[1]XI. Table 2 (cont.)'!$V$17</definedName>
    <definedName name="sch_sp_se_num_g7_billiards_lwd">'[1]XI. Table 2 (cont.)'!$X$17</definedName>
    <definedName name="sch_sp_se_num_g7_billiards_m">'[1]XI. Table 2 (cont.)'!$R$17</definedName>
    <definedName name="sch_sp_se_num_g7_bocce_f">'[1]XI. Table 2 (cont.)'!$T$41</definedName>
    <definedName name="sch_sp_se_num_g7_bocce_ip">'[1]XI. Table 2 (cont.)'!$V$41</definedName>
    <definedName name="sch_sp_se_num_g7_bocce_lwd">'[1]XI. Table 2 (cont.)'!$X$41</definedName>
    <definedName name="sch_sp_se_num_g7_bocce_m">'[1]XI. Table 2 (cont.)'!$R$41</definedName>
    <definedName name="sch_sp_se_num_g7_boxing_f">'[1]XI. Table 2 (cont.)'!$T$18</definedName>
    <definedName name="sch_sp_se_num_g7_boxing_ip">'[1]XI. Table 2 (cont.)'!$V$18</definedName>
    <definedName name="sch_sp_se_num_g7_boxing_lwd">'[1]XI. Table 2 (cont.)'!$X$18</definedName>
    <definedName name="sch_sp_se_num_g7_boxing_m">'[1]XI. Table 2 (cont.)'!$R$18</definedName>
    <definedName name="sch_sp_se_num_g7_chess_f">'[1]XI. Table 2 (cont.)'!$T$19</definedName>
    <definedName name="sch_sp_se_num_g7_chess_ip">'[1]XI. Table 2 (cont.)'!$V$19</definedName>
    <definedName name="sch_sp_se_num_g7_chess_lwd">'[1]XI. Table 2 (cont.)'!$X$19</definedName>
    <definedName name="sch_sp_se_num_g7_chess_m">'[1]XI. Table 2 (cont.)'!$R$19</definedName>
    <definedName name="sch_sp_se_num_g7_dancesports_f">'[1]XI. Table 2 (cont.)'!$T$20</definedName>
    <definedName name="sch_sp_se_num_g7_dancesports_ip">'[1]XI. Table 2 (cont.)'!$V$20</definedName>
    <definedName name="sch_sp_se_num_g7_dancesports_lwd">'[1]XI. Table 2 (cont.)'!$X$20</definedName>
    <definedName name="sch_sp_se_num_g7_dancesports_m">'[1]XI. Table 2 (cont.)'!$R$20</definedName>
    <definedName name="sch_sp_se_num_g7_football_f">'[1]XI. Table 2 (cont.)'!$T$21</definedName>
    <definedName name="sch_sp_se_num_g7_football_ip">'[1]XI. Table 2 (cont.)'!$V$21</definedName>
    <definedName name="sch_sp_se_num_g7_football_lwd">'[1]XI. Table 2 (cont.)'!$X$21</definedName>
    <definedName name="sch_sp_se_num_g7_football_m">'[1]XI. Table 2 (cont.)'!$R$21</definedName>
    <definedName name="sch_sp_se_num_g7_futsal_f">'[1]XI. Table 2 (cont.)'!$T$22</definedName>
    <definedName name="sch_sp_se_num_g7_futsal_ip">'[1]XI. Table 2 (cont.)'!$V$22</definedName>
    <definedName name="sch_sp_se_num_g7_futsal_lwd">'[1]XI. Table 2 (cont.)'!$X$22</definedName>
    <definedName name="sch_sp_se_num_g7_futsal_m">'[1]XI. Table 2 (cont.)'!$R$22</definedName>
    <definedName name="sch_sp_se_num_g7_goalball_f">'[1]XI. Table 2 (cont.)'!$T$40</definedName>
    <definedName name="sch_sp_se_num_g7_goalball_ip">'[1]XI. Table 2 (cont.)'!$V$40</definedName>
    <definedName name="sch_sp_se_num_g7_goalball_lwd">'[1]XI. Table 2 (cont.)'!$X$40</definedName>
    <definedName name="sch_sp_se_num_g7_goalball_m">'[1]XI. Table 2 (cont.)'!$R$40</definedName>
    <definedName name="sch_sp_se_num_g7_mag_f">'[1]XI. Table 2 (cont.)'!$T$24</definedName>
    <definedName name="sch_sp_se_num_g7_mag_ip">'[1]XI. Table 2 (cont.)'!$V$24</definedName>
    <definedName name="sch_sp_se_num_g7_mag_lwd">'[1]XI. Table 2 (cont.)'!$X$24</definedName>
    <definedName name="sch_sp_se_num_g7_mag_m">'[1]XI. Table 2 (cont.)'!$R$24</definedName>
    <definedName name="sch_sp_se_num_g7_othersports_f">'[1]XI. Table 2 (cont.)'!$T$44</definedName>
    <definedName name="sch_sp_se_num_g7_othersports_ip">'[1]XI. Table 2 (cont.)'!$V$44</definedName>
    <definedName name="sch_sp_se_num_g7_othersports_lwd">'[1]XI. Table 2 (cont.)'!$X$44</definedName>
    <definedName name="sch_sp_se_num_g7_othersports_m">'[1]XI. Table 2 (cont.)'!$R$44</definedName>
    <definedName name="sch_sp_se_num_g7_pencak_f">'[1]XI. Table 2 (cont.)'!$T$27</definedName>
    <definedName name="sch_sp_se_num_g7_pencak_ip">'[1]XI. Table 2 (cont.)'!$V$27</definedName>
    <definedName name="sch_sp_se_num_g7_pencak_lwd">'[1]XI. Table 2 (cont.)'!$X$27</definedName>
    <definedName name="sch_sp_se_num_g7_pencak_m">'[1]XI. Table 2 (cont.)'!$R$27</definedName>
    <definedName name="sch_sp_se_num_g7_phgames_f">'[1]XI. Table 2 (cont.)'!$T$42</definedName>
    <definedName name="sch_sp_se_num_g7_phgames_ip">'[1]XI. Table 2 (cont.)'!$V$42</definedName>
    <definedName name="sch_sp_se_num_g7_phgames_lwd">'[1]XI. Table 2 (cont.)'!$X$42</definedName>
    <definedName name="sch_sp_se_num_g7_phgames_m">'[1]XI. Table 2 (cont.)'!$R$42</definedName>
    <definedName name="sch_sp_se_num_g7_rg_f">'[1]XI. Table 2 (cont.)'!$T$26</definedName>
    <definedName name="sch_sp_se_num_g7_rg_ip">'[1]XI. Table 2 (cont.)'!$V$26</definedName>
    <definedName name="sch_sp_se_num_g7_rg_lwd">'[1]XI. Table 2 (cont.)'!$X$26</definedName>
    <definedName name="sch_sp_se_num_g7_rg_m">'[1]XI. Table 2 (cont.)'!$R$26</definedName>
    <definedName name="sch_sp_se_num_g7_sepaktakraw_f">'[1]XI. Table 2 (cont.)'!$T$28</definedName>
    <definedName name="sch_sp_se_num_g7_sepaktakraw_ip">'[1]XI. Table 2 (cont.)'!$V$28</definedName>
    <definedName name="sch_sp_se_num_g7_sepaktakraw_lwd">'[1]XI. Table 2 (cont.)'!$X$28</definedName>
    <definedName name="sch_sp_se_num_g7_sepaktakraw_m">'[1]XI. Table 2 (cont.)'!$R$28</definedName>
    <definedName name="sch_sp_se_num_g7_softball_f">'[1]XI. Table 2 (cont.)'!$T$29</definedName>
    <definedName name="sch_sp_se_num_g7_softball_ip">'[1]XI. Table 2 (cont.)'!$V$29</definedName>
    <definedName name="sch_sp_se_num_g7_softball_lwd">'[1]XI. Table 2 (cont.)'!$X$29</definedName>
    <definedName name="sch_sp_se_num_g7_softball_m">'[1]XI. Table 2 (cont.)'!$R$29</definedName>
    <definedName name="sch_sp_se_num_g7_swimming_f">'[1]XI. Table 2 (cont.)'!$T$30</definedName>
    <definedName name="sch_sp_se_num_g7_swimming_ip">'[1]XI. Table 2 (cont.)'!$V$30</definedName>
    <definedName name="sch_sp_se_num_g7_swimming_lwd">'[1]XI. Table 2 (cont.)'!$X$30</definedName>
    <definedName name="sch_sp_se_num_g7_swimming_m">'[1]XI. Table 2 (cont.)'!$R$30</definedName>
    <definedName name="sch_sp_se_num_g7_swimmingparagame_f">'[1]XI. Table 2 (cont.)'!$T$39</definedName>
    <definedName name="sch_sp_se_num_g7_swimmingparagame_ip">'[1]XI. Table 2 (cont.)'!$V$39</definedName>
    <definedName name="sch_sp_se_num_g7_swimmingparagame_lwd">'[1]XI. Table 2 (cont.)'!$X$39</definedName>
    <definedName name="sch_sp_se_num_g7_swimmingparagame_m">'[1]XI. Table 2 (cont.)'!$R$39</definedName>
    <definedName name="sch_sp_se_num_g7_tabletennis_f">'[1]XI. Table 2 (cont.)'!$T$31</definedName>
    <definedName name="sch_sp_se_num_g7_tabletennis_ip">'[1]XI. Table 2 (cont.)'!$V$31</definedName>
    <definedName name="sch_sp_se_num_g7_tabletennis_lwd">'[1]XI. Table 2 (cont.)'!$X$31</definedName>
    <definedName name="sch_sp_se_num_g7_tabletennis_m">'[1]XI. Table 2 (cont.)'!$R$31</definedName>
    <definedName name="sch_sp_se_num_g7_taekwondo_f">'[1]XI. Table 2 (cont.)'!$T$32</definedName>
    <definedName name="sch_sp_se_num_g7_taekwondo_ip">'[1]XI. Table 2 (cont.)'!$V$32</definedName>
    <definedName name="sch_sp_se_num_g7_taekwondo_lwd">'[1]XI. Table 2 (cont.)'!$X$32</definedName>
    <definedName name="sch_sp_se_num_g7_taekwondo_m">'[1]XI. Table 2 (cont.)'!$R$32</definedName>
    <definedName name="sch_sp_se_num_g7_tennis_f">'[1]XI. Table 2 (cont.)'!$T$33</definedName>
    <definedName name="sch_sp_se_num_g7_tennis_ip">'[1]XI. Table 2 (cont.)'!$V$33</definedName>
    <definedName name="sch_sp_se_num_g7_tennis_lwd">'[1]XI. Table 2 (cont.)'!$X$33</definedName>
    <definedName name="sch_sp_se_num_g7_tennis_m">'[1]XI. Table 2 (cont.)'!$R$33</definedName>
    <definedName name="sch_sp_se_num_g7_volleyball_f">'[1]XI. Table 2 (cont.)'!$T$34</definedName>
    <definedName name="sch_sp_se_num_g7_volleyball_ip">'[1]XI. Table 2 (cont.)'!$V$34</definedName>
    <definedName name="sch_sp_se_num_g7_volleyball_lwd">'[1]XI. Table 2 (cont.)'!$X$34</definedName>
    <definedName name="sch_sp_se_num_g7_volleyball_m">'[1]XI. Table 2 (cont.)'!$R$34</definedName>
    <definedName name="sch_sp_se_num_g7_wag_f">'[1]XI. Table 2 (cont.)'!$T$25</definedName>
    <definedName name="sch_sp_se_num_g7_wag_ip">'[1]XI. Table 2 (cont.)'!$V$25</definedName>
    <definedName name="sch_sp_se_num_g7_wag_lwd">'[1]XI. Table 2 (cont.)'!$X$25</definedName>
    <definedName name="sch_sp_se_num_g7_wag_m">'[1]XI. Table 2 (cont.)'!$R$25</definedName>
    <definedName name="sch_sp_se_num_g7_weightlifting_f">'[1]XI. Table 2 (cont.)'!$T$35</definedName>
    <definedName name="sch_sp_se_num_g7_weightlifting_ip">'[1]XI. Table 2 (cont.)'!$V$35</definedName>
    <definedName name="sch_sp_se_num_g7_weightlifting_lwd">'[1]XI. Table 2 (cont.)'!$X$35</definedName>
    <definedName name="sch_sp_se_num_g7_weightlifting_m">'[1]XI. Table 2 (cont.)'!$R$35</definedName>
    <definedName name="sch_sp_se_num_g7_wrestling_f">'[1]XI. Table 2 (cont.)'!$T$36</definedName>
    <definedName name="sch_sp_se_num_g7_wrestling_ip">'[1]XI. Table 2 (cont.)'!$V$36</definedName>
    <definedName name="sch_sp_se_num_g7_wrestling_lwd">'[1]XI. Table 2 (cont.)'!$X$36</definedName>
    <definedName name="sch_sp_se_num_g7_wrestling_m">'[1]XI. Table 2 (cont.)'!$R$36</definedName>
    <definedName name="sch_sp_se_num_g7_wushu_f">'[1]XI. Table 2 (cont.)'!$T$37</definedName>
    <definedName name="sch_sp_se_num_g7_wushu_ip">'[1]XI. Table 2 (cont.)'!$V$37</definedName>
    <definedName name="sch_sp_se_num_g7_wushu_lwd">'[1]XI. Table 2 (cont.)'!$X$37</definedName>
    <definedName name="sch_sp_se_num_g7_wushu_m">'[1]XI. Table 2 (cont.)'!$R$37</definedName>
    <definedName name="sch_sp_se_num_g8_aerogymn_f">'[1]XI. Table 2 (cont.)'!$AB$23</definedName>
    <definedName name="sch_sp_se_num_g8_aerogymn_ip">'[1]XI. Table 2 (cont.)'!$AD$23</definedName>
    <definedName name="sch_sp_se_num_g8_aerogymn_lwd">'[1]XI. Table 2 (cont.)'!$AF$23</definedName>
    <definedName name="sch_sp_se_num_g8_aerogymn_m">'[1]XI. Table 2 (cont.)'!$Z$23</definedName>
    <definedName name="sch_sp_se_num_g8_archery_f">'[1]XI. Table 2 (cont.)'!$AB$10</definedName>
    <definedName name="sch_sp_se_num_g8_archery_ip">'[1]XI. Table 2 (cont.)'!$AD$10</definedName>
    <definedName name="sch_sp_se_num_g8_archery_lwd">'[1]XI. Table 2 (cont.)'!$AF$10</definedName>
    <definedName name="sch_sp_se_num_g8_archery_m">'[1]XI. Table 2 (cont.)'!$Z$10</definedName>
    <definedName name="sch_sp_se_num_g8_arnis_f">'[1]XI. Table 2 (cont.)'!$AB$11</definedName>
    <definedName name="sch_sp_se_num_g8_arnis_ip">'[1]XI. Table 2 (cont.)'!$AD$11</definedName>
    <definedName name="sch_sp_se_num_g8_arnis_lwd">'[1]XI. Table 2 (cont.)'!$AF$11</definedName>
    <definedName name="sch_sp_se_num_g8_arnis_m">'[1]XI. Table 2 (cont.)'!$Z$11</definedName>
    <definedName name="sch_sp_se_num_g8_athleticsparagame_f">'[1]XI. Table 2 (cont.)'!$AB$38</definedName>
    <definedName name="sch_sp_se_num_g8_athleticsparagame_ip">'[1]XI. Table 2 (cont.)'!$AD$38</definedName>
    <definedName name="sch_sp_se_num_g8_athleticsparagame_lwd">'[1]XI. Table 2 (cont.)'!$AF$38</definedName>
    <definedName name="sch_sp_se_num_g8_athleticsparagame_m">'[1]XI. Table 2 (cont.)'!$Z$38</definedName>
    <definedName name="sch_sp_se_num_g8_athlthrow_f">'[1]XI. Table 2 (cont.)'!$AB$12</definedName>
    <definedName name="sch_sp_se_num_g8_athlthrow_ip">'[1]XI. Table 2 (cont.)'!$AD$12</definedName>
    <definedName name="sch_sp_se_num_g8_athlthrow_lwd">'[1]XI. Table 2 (cont.)'!$AF$12</definedName>
    <definedName name="sch_sp_se_num_g8_athlthrow_m">'[1]XI. Table 2 (cont.)'!$Z$12</definedName>
    <definedName name="sch_sp_se_num_g8_athltrun_f">'[1]XI. Table 2 (cont.)'!$AB$13</definedName>
    <definedName name="sch_sp_se_num_g8_athltrun_ip">'[1]XI. Table 2 (cont.)'!$AD$13</definedName>
    <definedName name="sch_sp_se_num_g8_athltrun_lwd">'[1]XI. Table 2 (cont.)'!$AF$13</definedName>
    <definedName name="sch_sp_se_num_g8_athltrun_m">'[1]XI. Table 2 (cont.)'!$Z$13</definedName>
    <definedName name="sch_sp_se_num_g8_badminton_f">'[1]XI. Table 2 (cont.)'!$AB$14</definedName>
    <definedName name="sch_sp_se_num_g8_badminton_ip">'[1]XI. Table 2 (cont.)'!$AD$14</definedName>
    <definedName name="sch_sp_se_num_g8_badminton_lwd">'[1]XI. Table 2 (cont.)'!$AF$14</definedName>
    <definedName name="sch_sp_se_num_g8_badminton_m">'[1]XI. Table 2 (cont.)'!$Z$14</definedName>
    <definedName name="sch_sp_se_num_g8_baseball_f">'[1]XI. Table 2 (cont.)'!$AB$16</definedName>
    <definedName name="sch_sp_se_num_g8_baseball_ip">'[1]XI. Table 2 (cont.)'!$AD$16</definedName>
    <definedName name="sch_sp_se_num_g8_baseball_lwd">'[1]XI. Table 2 (cont.)'!$AF$16</definedName>
    <definedName name="sch_sp_se_num_g8_baseball_m">'[1]XI. Table 2 (cont.)'!$Z$16</definedName>
    <definedName name="sch_sp_se_num_g8_basketball_f">'[1]XI. Table 2 (cont.)'!$AB$15</definedName>
    <definedName name="sch_sp_se_num_g8_basketball_ip">'[1]XI. Table 2 (cont.)'!$AD$15</definedName>
    <definedName name="sch_sp_se_num_g8_basketball_lwd">'[1]XI. Table 2 (cont.)'!$AF$15</definedName>
    <definedName name="sch_sp_se_num_g8_basketball_m">'[1]XI. Table 2 (cont.)'!$Z$15</definedName>
    <definedName name="sch_sp_se_num_g8_billiards_f">'[1]XI. Table 2 (cont.)'!$AB$17</definedName>
    <definedName name="sch_sp_se_num_g8_billiards_ip">'[1]XI. Table 2 (cont.)'!$AD$17</definedName>
    <definedName name="sch_sp_se_num_g8_billiards_lwd">'[1]XI. Table 2 (cont.)'!$AF$17</definedName>
    <definedName name="sch_sp_se_num_g8_billiards_m">'[1]XI. Table 2 (cont.)'!$Z$17</definedName>
    <definedName name="sch_sp_se_num_g8_bocce_f">'[1]XI. Table 2 (cont.)'!$AB$41</definedName>
    <definedName name="sch_sp_se_num_g8_bocce_ip">'[1]XI. Table 2 (cont.)'!$AD$41</definedName>
    <definedName name="sch_sp_se_num_g8_bocce_lwd">'[1]XI. Table 2 (cont.)'!$AF$41</definedName>
    <definedName name="sch_sp_se_num_g8_bocce_m">'[1]XI. Table 2 (cont.)'!$Z$41</definedName>
    <definedName name="sch_sp_se_num_g8_boxing_f">'[1]XI. Table 2 (cont.)'!$AB$18</definedName>
    <definedName name="sch_sp_se_num_g8_boxing_ip">'[1]XI. Table 2 (cont.)'!$AD$18</definedName>
    <definedName name="sch_sp_se_num_g8_boxing_lwd">'[1]XI. Table 2 (cont.)'!$AF$18</definedName>
    <definedName name="sch_sp_se_num_g8_boxing_m">'[1]XI. Table 2 (cont.)'!$Z$18</definedName>
    <definedName name="sch_sp_se_num_g8_chess_f">'[1]XI. Table 2 (cont.)'!$AB$19</definedName>
    <definedName name="sch_sp_se_num_g8_chess_ip">'[1]XI. Table 2 (cont.)'!$AD$19</definedName>
    <definedName name="sch_sp_se_num_g8_chess_lwd">'[1]XI. Table 2 (cont.)'!$AF$19</definedName>
    <definedName name="sch_sp_se_num_g8_chess_m">'[1]XI. Table 2 (cont.)'!$Z$19</definedName>
    <definedName name="sch_sp_se_num_g8_dancesports_f">'[1]XI. Table 2 (cont.)'!$AB$20</definedName>
    <definedName name="sch_sp_se_num_g8_dancesports_ip">'[1]XI. Table 2 (cont.)'!$AD$20</definedName>
    <definedName name="sch_sp_se_num_g8_dancesports_lwd">'[1]XI. Table 2 (cont.)'!$AF$20</definedName>
    <definedName name="sch_sp_se_num_g8_dancesports_m">'[1]XI. Table 2 (cont.)'!$Z$20</definedName>
    <definedName name="sch_sp_se_num_g8_football_f">'[1]XI. Table 2 (cont.)'!$AB$21</definedName>
    <definedName name="sch_sp_se_num_g8_football_ip">'[1]XI. Table 2 (cont.)'!$AD$21</definedName>
    <definedName name="sch_sp_se_num_g8_football_lwd">'[1]XI. Table 2 (cont.)'!$AF$21</definedName>
    <definedName name="sch_sp_se_num_g8_football_m">'[1]XI. Table 2 (cont.)'!$Z$21</definedName>
    <definedName name="sch_sp_se_num_g8_futsal_f">'[1]XI. Table 2 (cont.)'!$AB$22</definedName>
    <definedName name="sch_sp_se_num_g8_futsal_ip">'[1]XI. Table 2 (cont.)'!$AD$22</definedName>
    <definedName name="sch_sp_se_num_g8_futsal_lwd">'[1]XI. Table 2 (cont.)'!$AF$22</definedName>
    <definedName name="sch_sp_se_num_g8_futsal_m">'[1]XI. Table 2 (cont.)'!$Z$22</definedName>
    <definedName name="sch_sp_se_num_g8_goalball_f">'[1]XI. Table 2 (cont.)'!$AB$40</definedName>
    <definedName name="sch_sp_se_num_g8_goalball_ip">'[1]XI. Table 2 (cont.)'!$AD$40</definedName>
    <definedName name="sch_sp_se_num_g8_goalball_lwd">'[1]XI. Table 2 (cont.)'!$AF$40</definedName>
    <definedName name="sch_sp_se_num_g8_goalball_m">'[1]XI. Table 2 (cont.)'!$Z$40</definedName>
    <definedName name="sch_sp_se_num_g8_mag_f">'[1]XI. Table 2 (cont.)'!$AB$24</definedName>
    <definedName name="sch_sp_se_num_g8_mag_ip">'[1]XI. Table 2 (cont.)'!$AD$24</definedName>
    <definedName name="sch_sp_se_num_g8_mag_lwd">'[1]XI. Table 2 (cont.)'!$AF$24</definedName>
    <definedName name="sch_sp_se_num_g8_mag_m">'[1]XI. Table 2 (cont.)'!$Z$24</definedName>
    <definedName name="sch_sp_se_num_g8_othersports_f">'[1]XI. Table 2 (cont.)'!$AB$44</definedName>
    <definedName name="sch_sp_se_num_g8_othersports_ip">'[1]XI. Table 2 (cont.)'!$AD$44</definedName>
    <definedName name="sch_sp_se_num_g8_othersports_lwd">'[1]XI. Table 2 (cont.)'!$AF$44</definedName>
    <definedName name="sch_sp_se_num_g8_othersports_m">'[1]XI. Table 2 (cont.)'!$Z$44</definedName>
    <definedName name="sch_sp_se_num_g8_pencak_f">'[1]XI. Table 2 (cont.)'!$AB$27</definedName>
    <definedName name="sch_sp_se_num_g8_pencak_ip">'[1]XI. Table 2 (cont.)'!$AD$27</definedName>
    <definedName name="sch_sp_se_num_g8_pencak_lwd">'[1]XI. Table 2 (cont.)'!$AF$27</definedName>
    <definedName name="sch_sp_se_num_g8_pencak_m">'[1]XI. Table 2 (cont.)'!$Z$27</definedName>
    <definedName name="sch_sp_se_num_g8_phgames_f">'[1]XI. Table 2 (cont.)'!$AB$42</definedName>
    <definedName name="sch_sp_se_num_g8_phgames_ip">'[1]XI. Table 2 (cont.)'!$AD$42</definedName>
    <definedName name="sch_sp_se_num_g8_phgames_lwd">'[1]XI. Table 2 (cont.)'!$AF$42</definedName>
    <definedName name="sch_sp_se_num_g8_phgames_m">'[1]XI. Table 2 (cont.)'!$Z$42</definedName>
    <definedName name="sch_sp_se_num_g8_rg_f">'[1]XI. Table 2 (cont.)'!$AB$26</definedName>
    <definedName name="sch_sp_se_num_g8_rg_ip">'[1]XI. Table 2 (cont.)'!$AD$26</definedName>
    <definedName name="sch_sp_se_num_g8_rg_lwd">'[1]XI. Table 2 (cont.)'!$AF$26</definedName>
    <definedName name="sch_sp_se_num_g8_rg_m">'[1]XI. Table 2 (cont.)'!$Z$26</definedName>
    <definedName name="sch_sp_se_num_g8_sepaktakraw_f">'[1]XI. Table 2 (cont.)'!$AB$28</definedName>
    <definedName name="sch_sp_se_num_g8_sepaktakraw_ip">'[1]XI. Table 2 (cont.)'!$AD$28</definedName>
    <definedName name="sch_sp_se_num_g8_sepaktakraw_lwd">'[1]XI. Table 2 (cont.)'!$AF$28</definedName>
    <definedName name="sch_sp_se_num_g8_sepaktakraw_m">'[1]XI. Table 2 (cont.)'!$Z$28</definedName>
    <definedName name="sch_sp_se_num_g8_softball_f">'[1]XI. Table 2 (cont.)'!$AB$29</definedName>
    <definedName name="sch_sp_se_num_g8_softball_ip">'[1]XI. Table 2 (cont.)'!$AD$29</definedName>
    <definedName name="sch_sp_se_num_g8_softball_lwd">'[1]XI. Table 2 (cont.)'!$AF$29</definedName>
    <definedName name="sch_sp_se_num_g8_softball_m">'[1]XI. Table 2 (cont.)'!$Z$29</definedName>
    <definedName name="sch_sp_se_num_g8_swimming_f">'[1]XI. Table 2 (cont.)'!$AB$30</definedName>
    <definedName name="sch_sp_se_num_g8_swimming_ip">'[1]XI. Table 2 (cont.)'!$AD$30</definedName>
    <definedName name="sch_sp_se_num_g8_swimming_lwd">'[1]XI. Table 2 (cont.)'!$AF$30</definedName>
    <definedName name="sch_sp_se_num_g8_swimming_m">'[1]XI. Table 2 (cont.)'!$Z$30</definedName>
    <definedName name="sch_sp_se_num_g8_swimmingparagame_f">'[1]XI. Table 2 (cont.)'!$AB$39</definedName>
    <definedName name="sch_sp_se_num_g8_swimmingparagame_ip">'[1]XI. Table 2 (cont.)'!$AD$39</definedName>
    <definedName name="sch_sp_se_num_g8_swimmingparagame_lwd">'[1]XI. Table 2 (cont.)'!$AF$39</definedName>
    <definedName name="sch_sp_se_num_g8_swimmingparagame_m">'[1]XI. Table 2 (cont.)'!$Z$39</definedName>
    <definedName name="sch_sp_se_num_g8_tabletennis_f">'[1]XI. Table 2 (cont.)'!$AB$31</definedName>
    <definedName name="sch_sp_se_num_g8_tabletennis_ip">'[1]XI. Table 2 (cont.)'!$AD$31</definedName>
    <definedName name="sch_sp_se_num_g8_tabletennis_lwd">'[1]XI. Table 2 (cont.)'!$AF$31</definedName>
    <definedName name="sch_sp_se_num_g8_tabletennis_m">'[1]XI. Table 2 (cont.)'!$Z$31</definedName>
    <definedName name="sch_sp_se_num_g8_taekwondo_f">'[1]XI. Table 2 (cont.)'!$AB$32</definedName>
    <definedName name="sch_sp_se_num_g8_taekwondo_ip">'[1]XI. Table 2 (cont.)'!$AD$32</definedName>
    <definedName name="sch_sp_se_num_g8_taekwondo_lwd">'[1]XI. Table 2 (cont.)'!$AF$32</definedName>
    <definedName name="sch_sp_se_num_g8_taekwondo_m">'[1]XI. Table 2 (cont.)'!$Z$32</definedName>
    <definedName name="sch_sp_se_num_g8_tennis_f">'[1]XI. Table 2 (cont.)'!$AB$33</definedName>
    <definedName name="sch_sp_se_num_g8_tennis_ip">'[1]XI. Table 2 (cont.)'!$AD$33</definedName>
    <definedName name="sch_sp_se_num_g8_tennis_lwd">'[1]XI. Table 2 (cont.)'!$AF$33</definedName>
    <definedName name="sch_sp_se_num_g8_tennis_m">'[1]XI. Table 2 (cont.)'!$Z$33</definedName>
    <definedName name="sch_sp_se_num_g8_volleyball_f">'[1]XI. Table 2 (cont.)'!$AB$34</definedName>
    <definedName name="sch_sp_se_num_g8_volleyball_ip">'[1]XI. Table 2 (cont.)'!$AD$34</definedName>
    <definedName name="sch_sp_se_num_g8_volleyball_lwd">'[1]XI. Table 2 (cont.)'!$AF$34</definedName>
    <definedName name="sch_sp_se_num_g8_volleyball_m">'[1]XI. Table 2 (cont.)'!$Z$34</definedName>
    <definedName name="sch_sp_se_num_g8_wag_f">'[1]XI. Table 2 (cont.)'!$AB$25</definedName>
    <definedName name="sch_sp_se_num_g8_wag_ip">'[1]XI. Table 2 (cont.)'!$AD$25</definedName>
    <definedName name="sch_sp_se_num_g8_wag_lwd">'[1]XI. Table 2 (cont.)'!$AF$25</definedName>
    <definedName name="sch_sp_se_num_g8_wag_m">'[1]XI. Table 2 (cont.)'!$Z$25</definedName>
    <definedName name="sch_sp_se_num_g8_weightlifting_f">'[1]XI. Table 2 (cont.)'!$AB$35</definedName>
    <definedName name="sch_sp_se_num_g8_weightlifting_ip">'[1]XI. Table 2 (cont.)'!$AD$35</definedName>
    <definedName name="sch_sp_se_num_g8_weightlifting_lwd">'[1]XI. Table 2 (cont.)'!$AF$35</definedName>
    <definedName name="sch_sp_se_num_g8_weightlifting_m">'[1]XI. Table 2 (cont.)'!$Z$35</definedName>
    <definedName name="sch_sp_se_num_g8_wrestling_f">'[1]XI. Table 2 (cont.)'!$AB$36</definedName>
    <definedName name="sch_sp_se_num_g8_wrestling_ip">'[1]XI. Table 2 (cont.)'!$AD$36</definedName>
    <definedName name="sch_sp_se_num_g8_wrestling_lwd">'[1]XI. Table 2 (cont.)'!$AF$36</definedName>
    <definedName name="sch_sp_se_num_g8_wrestling_m">'[1]XI. Table 2 (cont.)'!$Z$36</definedName>
    <definedName name="sch_sp_se_num_g8_wushu_f">'[1]XI. Table 2 (cont.)'!$AB$37</definedName>
    <definedName name="sch_sp_se_num_g8_wushu_ip">'[1]XI. Table 2 (cont.)'!$AD$37</definedName>
    <definedName name="sch_sp_se_num_g8_wushu_lwd">'[1]XI. Table 2 (cont.)'!$AF$37</definedName>
    <definedName name="sch_sp_se_num_g8_wushu_m">'[1]XI. Table 2 (cont.)'!$Z$37</definedName>
    <definedName name="sch_sp_se_num_g9_aerogymn_f">'[1]XI. Table 2 (cont.)'!$AJ$23</definedName>
    <definedName name="sch_sp_se_num_g9_aerogymn_ip">'[1]XI. Table 2 (cont.)'!$AL$23</definedName>
    <definedName name="sch_sp_se_num_g9_aerogymn_lwd">'[1]XI. Table 2 (cont.)'!$AN$23</definedName>
    <definedName name="sch_sp_se_num_g9_aerogymn_m">'[1]XI. Table 2 (cont.)'!$AH$23</definedName>
    <definedName name="sch_sp_se_num_g9_archery_f">'[1]XI. Table 2 (cont.)'!$AJ$10</definedName>
    <definedName name="sch_sp_se_num_g9_archery_ip">'[1]XI. Table 2 (cont.)'!$AL$10</definedName>
    <definedName name="sch_sp_se_num_g9_archery_lwd">'[1]XI. Table 2 (cont.)'!$AN$10</definedName>
    <definedName name="sch_sp_se_num_g9_archery_m">'[1]XI. Table 2 (cont.)'!$AH$10</definedName>
    <definedName name="sch_sp_se_num_g9_arnis_f">'[1]XI. Table 2 (cont.)'!$AJ$11</definedName>
    <definedName name="sch_sp_se_num_g9_arnis_ip">'[1]XI. Table 2 (cont.)'!$AL$11</definedName>
    <definedName name="sch_sp_se_num_g9_arnis_lwd">'[1]XI. Table 2 (cont.)'!$AN$11</definedName>
    <definedName name="sch_sp_se_num_g9_arnis_m">'[1]XI. Table 2 (cont.)'!$AH$11</definedName>
    <definedName name="sch_sp_se_num_g9_athleticsparagame_f">'[1]XI. Table 2 (cont.)'!$AJ$38</definedName>
    <definedName name="sch_sp_se_num_g9_athleticsparagame_ip">'[1]XI. Table 2 (cont.)'!$AL$38</definedName>
    <definedName name="sch_sp_se_num_g9_athleticsparagame_lwd">'[1]XI. Table 2 (cont.)'!$AN$38</definedName>
    <definedName name="sch_sp_se_num_g9_athleticsparagame_m">'[1]XI. Table 2 (cont.)'!$AH$38</definedName>
    <definedName name="sch_sp_se_num_g9_athlthrow_f">'[1]XI. Table 2 (cont.)'!$AJ$12</definedName>
    <definedName name="sch_sp_se_num_g9_athlthrow_ip">'[1]XI. Table 2 (cont.)'!$AL$12</definedName>
    <definedName name="sch_sp_se_num_g9_athlthrow_lwd">'[1]XI. Table 2 (cont.)'!$AN$12</definedName>
    <definedName name="sch_sp_se_num_g9_athlthrow_m">'[1]XI. Table 2 (cont.)'!$AH$12</definedName>
    <definedName name="sch_sp_se_num_g9_athltrun_f">'[1]XI. Table 2 (cont.)'!$AJ$13</definedName>
    <definedName name="sch_sp_se_num_g9_athltrun_ip">'[1]XI. Table 2 (cont.)'!$AL$13</definedName>
    <definedName name="sch_sp_se_num_g9_athltrun_lwd">'[1]XI. Table 2 (cont.)'!$AN$13</definedName>
    <definedName name="sch_sp_se_num_g9_athltrun_m">'[1]XI. Table 2 (cont.)'!$AH$13</definedName>
    <definedName name="sch_sp_se_num_g9_badminton_f">'[1]XI. Table 2 (cont.)'!$AJ$14</definedName>
    <definedName name="sch_sp_se_num_g9_badminton_ip">'[1]XI. Table 2 (cont.)'!$AL$14</definedName>
    <definedName name="sch_sp_se_num_g9_badminton_lwd">'[1]XI. Table 2 (cont.)'!$AN$14</definedName>
    <definedName name="sch_sp_se_num_g9_badminton_m">'[1]XI. Table 2 (cont.)'!$AH$14</definedName>
    <definedName name="sch_sp_se_num_g9_baseball_f">'[1]XI. Table 2 (cont.)'!$AJ$16</definedName>
    <definedName name="sch_sp_se_num_g9_baseball_ip">'[1]XI. Table 2 (cont.)'!$AL$16</definedName>
    <definedName name="sch_sp_se_num_g9_baseball_lwd">'[1]XI. Table 2 (cont.)'!$AN$16</definedName>
    <definedName name="sch_sp_se_num_g9_baseball_m">'[1]XI. Table 2 (cont.)'!$AH$16</definedName>
    <definedName name="sch_sp_se_num_g9_basketball_f">'[1]XI. Table 2 (cont.)'!$AJ$15</definedName>
    <definedName name="sch_sp_se_num_g9_basketball_ip">'[1]XI. Table 2 (cont.)'!$AL$15</definedName>
    <definedName name="sch_sp_se_num_g9_basketball_lwd">'[1]XI. Table 2 (cont.)'!$AN$15</definedName>
    <definedName name="sch_sp_se_num_g9_basketball_m">'[1]XI. Table 2 (cont.)'!$AH$15</definedName>
    <definedName name="sch_sp_se_num_g9_billiards_f">'[1]XI. Table 2 (cont.)'!$AJ$17</definedName>
    <definedName name="sch_sp_se_num_g9_billiards_ip">'[1]XI. Table 2 (cont.)'!$AL$17</definedName>
    <definedName name="sch_sp_se_num_g9_billiards_lwd">'[1]XI. Table 2 (cont.)'!$AN$17</definedName>
    <definedName name="sch_sp_se_num_g9_billiards_m">'[1]XI. Table 2 (cont.)'!$AH$17</definedName>
    <definedName name="sch_sp_se_num_g9_bocce_f">'[1]XI. Table 2 (cont.)'!$AJ$41</definedName>
    <definedName name="sch_sp_se_num_g9_bocce_ip">'[1]XI. Table 2 (cont.)'!$AL$41</definedName>
    <definedName name="sch_sp_se_num_g9_bocce_lwd">'[1]XI. Table 2 (cont.)'!$AN$41</definedName>
    <definedName name="sch_sp_se_num_g9_bocce_m">'[1]XI. Table 2 (cont.)'!$AH$41</definedName>
    <definedName name="sch_sp_se_num_g9_boxing_f">'[1]XI. Table 2 (cont.)'!$AJ$18</definedName>
    <definedName name="sch_sp_se_num_g9_boxing_ip">'[1]XI. Table 2 (cont.)'!$AL$18</definedName>
    <definedName name="sch_sp_se_num_g9_boxing_lwd">'[1]XI. Table 2 (cont.)'!$AN$18</definedName>
    <definedName name="sch_sp_se_num_g9_boxing_m">'[1]XI. Table 2 (cont.)'!$AH$18</definedName>
    <definedName name="sch_sp_se_num_g9_chess_f">'[1]XI. Table 2 (cont.)'!$AJ$19</definedName>
    <definedName name="sch_sp_se_num_g9_chess_ip">'[1]XI. Table 2 (cont.)'!$AL$19</definedName>
    <definedName name="sch_sp_se_num_g9_chess_lwd">'[1]XI. Table 2 (cont.)'!$AN$19</definedName>
    <definedName name="sch_sp_se_num_g9_chess_m">'[1]XI. Table 2 (cont.)'!$AH$19</definedName>
    <definedName name="sch_sp_se_num_g9_dancesports_f">'[1]XI. Table 2 (cont.)'!$AJ$20</definedName>
    <definedName name="sch_sp_se_num_g9_dancesports_ip">'[1]XI. Table 2 (cont.)'!$AL$20</definedName>
    <definedName name="sch_sp_se_num_g9_dancesports_lwd">'[1]XI. Table 2 (cont.)'!$AN$20</definedName>
    <definedName name="sch_sp_se_num_g9_dancesports_m">'[1]XI. Table 2 (cont.)'!$AH$20</definedName>
    <definedName name="sch_sp_se_num_g9_football_f">'[1]XI. Table 2 (cont.)'!$AJ$21</definedName>
    <definedName name="sch_sp_se_num_g9_football_ip">'[1]XI. Table 2 (cont.)'!$AL$21</definedName>
    <definedName name="sch_sp_se_num_g9_football_lwd">'[1]XI. Table 2 (cont.)'!$AN$21</definedName>
    <definedName name="sch_sp_se_num_g9_football_m">'[1]XI. Table 2 (cont.)'!$AH$21</definedName>
    <definedName name="sch_sp_se_num_g9_futsal_f">'[1]XI. Table 2 (cont.)'!$AJ$22</definedName>
    <definedName name="sch_sp_se_num_g9_futsal_ip">'[1]XI. Table 2 (cont.)'!$AL$22</definedName>
    <definedName name="sch_sp_se_num_g9_futsal_lwd">'[1]XI. Table 2 (cont.)'!$AN$22</definedName>
    <definedName name="sch_sp_se_num_g9_futsal_m">'[1]XI. Table 2 (cont.)'!$AH$22</definedName>
    <definedName name="sch_sp_se_num_g9_goalball_f">'[1]XI. Table 2 (cont.)'!$AJ$40</definedName>
    <definedName name="sch_sp_se_num_g9_goalball_ip">'[1]XI. Table 2 (cont.)'!$AL$40</definedName>
    <definedName name="sch_sp_se_num_g9_goalball_lwd">'[1]XI. Table 2 (cont.)'!$AN$40</definedName>
    <definedName name="sch_sp_se_num_g9_goalball_m">'[1]XI. Table 2 (cont.)'!$AH$40</definedName>
    <definedName name="sch_sp_se_num_g9_mag_f">'[1]XI. Table 2 (cont.)'!$AJ$24</definedName>
    <definedName name="sch_sp_se_num_g9_mag_ip">'[1]XI. Table 2 (cont.)'!$AL$24</definedName>
    <definedName name="sch_sp_se_num_g9_mag_lwd">'[1]XI. Table 2 (cont.)'!$AN$24</definedName>
    <definedName name="sch_sp_se_num_g9_mag_m">'[1]XI. Table 2 (cont.)'!$AH$24</definedName>
    <definedName name="sch_sp_se_num_g9_othersports_f">'[1]XI. Table 2 (cont.)'!$AJ$44</definedName>
    <definedName name="sch_sp_se_num_g9_othersports_ip">'[1]XI. Table 2 (cont.)'!$AL$44</definedName>
    <definedName name="sch_sp_se_num_g9_othersports_lwd">'[1]XI. Table 2 (cont.)'!$AN$44</definedName>
    <definedName name="sch_sp_se_num_g9_othersports_m">'[1]XI. Table 2 (cont.)'!$AH$44</definedName>
    <definedName name="sch_sp_se_num_g9_pencak_f">'[1]XI. Table 2 (cont.)'!$AJ$27</definedName>
    <definedName name="sch_sp_se_num_g9_pencak_ip">'[1]XI. Table 2 (cont.)'!$AL$27</definedName>
    <definedName name="sch_sp_se_num_g9_pencak_lwd">'[1]XI. Table 2 (cont.)'!$AN$27</definedName>
    <definedName name="sch_sp_se_num_g9_pencak_m">'[1]XI. Table 2 (cont.)'!$AH$27</definedName>
    <definedName name="sch_sp_se_num_g9_phgames_f">'[1]XI. Table 2 (cont.)'!$AJ$42</definedName>
    <definedName name="sch_sp_se_num_g9_phgames_ip">'[1]XI. Table 2 (cont.)'!$AL$42</definedName>
    <definedName name="sch_sp_se_num_g9_phgames_lwd">'[1]XI. Table 2 (cont.)'!$AN$42</definedName>
    <definedName name="sch_sp_se_num_g9_phgames_m">'[1]XI. Table 2 (cont.)'!$AH$42</definedName>
    <definedName name="sch_sp_se_num_g9_rg_f">'[1]XI. Table 2 (cont.)'!$AJ$26</definedName>
    <definedName name="sch_sp_se_num_g9_rg_ip">'[1]XI. Table 2 (cont.)'!$AL$26</definedName>
    <definedName name="sch_sp_se_num_g9_rg_lwd">'[1]XI. Table 2 (cont.)'!$AN$26</definedName>
    <definedName name="sch_sp_se_num_g9_rg_m">'[1]XI. Table 2 (cont.)'!$AH$26</definedName>
    <definedName name="sch_sp_se_num_g9_sepaktakraw_f">'[1]XI. Table 2 (cont.)'!$AJ$28</definedName>
    <definedName name="sch_sp_se_num_g9_sepaktakraw_ip">'[1]XI. Table 2 (cont.)'!$AL$28</definedName>
    <definedName name="sch_sp_se_num_g9_sepaktakraw_lwd">'[1]XI. Table 2 (cont.)'!$AN$28</definedName>
    <definedName name="sch_sp_se_num_g9_sepaktakraw_m">'[1]XI. Table 2 (cont.)'!$AH$28</definedName>
    <definedName name="sch_sp_se_num_g9_softball_f">'[1]XI. Table 2 (cont.)'!$AJ$29</definedName>
    <definedName name="sch_sp_se_num_g9_softball_ip">'[1]XI. Table 2 (cont.)'!$AL$29</definedName>
    <definedName name="sch_sp_se_num_g9_softball_lwd">'[1]XI. Table 2 (cont.)'!$AN$29</definedName>
    <definedName name="sch_sp_se_num_g9_softball_m">'[1]XI. Table 2 (cont.)'!$AH$29</definedName>
    <definedName name="sch_sp_se_num_g9_swimming_f">'[1]XI. Table 2 (cont.)'!$AJ$30</definedName>
    <definedName name="sch_sp_se_num_g9_swimming_ip">'[1]XI. Table 2 (cont.)'!$AL$30</definedName>
    <definedName name="sch_sp_se_num_g9_swimming_lwd">'[1]XI. Table 2 (cont.)'!$AN$30</definedName>
    <definedName name="sch_sp_se_num_g9_swimming_m">'[1]XI. Table 2 (cont.)'!$AH$30</definedName>
    <definedName name="sch_sp_se_num_g9_swimmingparagame_f">'[1]XI. Table 2 (cont.)'!$AJ$39</definedName>
    <definedName name="sch_sp_se_num_g9_swimmingparagame_ip">'[1]XI. Table 2 (cont.)'!$AL$39</definedName>
    <definedName name="sch_sp_se_num_g9_swimmingparagame_lwd">'[1]XI. Table 2 (cont.)'!$AN$39</definedName>
    <definedName name="sch_sp_se_num_g9_swimmingparagame_m">'[1]XI. Table 2 (cont.)'!$AH$39</definedName>
    <definedName name="sch_sp_se_num_g9_tabletennis_f">'[1]XI. Table 2 (cont.)'!$AJ$31</definedName>
    <definedName name="sch_sp_se_num_g9_tabletennis_ip">'[1]XI. Table 2 (cont.)'!$AL$31</definedName>
    <definedName name="sch_sp_se_num_g9_tabletennis_lwd">'[1]XI. Table 2 (cont.)'!$AN$31</definedName>
    <definedName name="sch_sp_se_num_g9_tabletennis_m">'[1]XI. Table 2 (cont.)'!$AH$31</definedName>
    <definedName name="sch_sp_se_num_g9_taekwondo_f">'[1]XI. Table 2 (cont.)'!$AJ$32</definedName>
    <definedName name="sch_sp_se_num_g9_taekwondo_ip">'[1]XI. Table 2 (cont.)'!$AL$32</definedName>
    <definedName name="sch_sp_se_num_g9_taekwondo_lwd">'[1]XI. Table 2 (cont.)'!$AN$32</definedName>
    <definedName name="sch_sp_se_num_g9_taekwondo_m">'[1]XI. Table 2 (cont.)'!$AH$32</definedName>
    <definedName name="sch_sp_se_num_g9_tennis_f">'[1]XI. Table 2 (cont.)'!$AJ$33</definedName>
    <definedName name="sch_sp_se_num_g9_tennis_ip">'[1]XI. Table 2 (cont.)'!$AL$33</definedName>
    <definedName name="sch_sp_se_num_g9_tennis_lwd">'[1]XI. Table 2 (cont.)'!$AN$33</definedName>
    <definedName name="sch_sp_se_num_g9_tennis_m">'[1]XI. Table 2 (cont.)'!$AH$33</definedName>
    <definedName name="sch_sp_se_num_g9_volleyball_f">'[1]XI. Table 2 (cont.)'!$AJ$34</definedName>
    <definedName name="sch_sp_se_num_g9_volleyball_ip">'[1]XI. Table 2 (cont.)'!$AL$34</definedName>
    <definedName name="sch_sp_se_num_g9_volleyball_lwd">'[1]XI. Table 2 (cont.)'!$AN$34</definedName>
    <definedName name="sch_sp_se_num_g9_volleyball_m">'[1]XI. Table 2 (cont.)'!$AH$34</definedName>
    <definedName name="sch_sp_se_num_g9_wag_f">'[1]XI. Table 2 (cont.)'!$AJ$25</definedName>
    <definedName name="sch_sp_se_num_g9_wag_ip">'[1]XI. Table 2 (cont.)'!$AL$25</definedName>
    <definedName name="sch_sp_se_num_g9_wag_lwd">'[1]XI. Table 2 (cont.)'!$AN$25</definedName>
    <definedName name="sch_sp_se_num_g9_wag_m">'[1]XI. Table 2 (cont.)'!$AH$25</definedName>
    <definedName name="sch_sp_se_num_g9_weightlifting_f">'[1]XI. Table 2 (cont.)'!$AJ$35</definedName>
    <definedName name="sch_sp_se_num_g9_weightlifting_ip">'[1]XI. Table 2 (cont.)'!$AL$35</definedName>
    <definedName name="sch_sp_se_num_g9_weightlifting_lwd">'[1]XI. Table 2 (cont.)'!$AN$35</definedName>
    <definedName name="sch_sp_se_num_g9_weightlifting_m">'[1]XI. Table 2 (cont.)'!$AH$35</definedName>
    <definedName name="sch_sp_se_num_g9_wrestling_f">'[1]XI. Table 2 (cont.)'!$AJ$36</definedName>
    <definedName name="sch_sp_se_num_g9_wrestling_ip">'[1]XI. Table 2 (cont.)'!$AL$36</definedName>
    <definedName name="sch_sp_se_num_g9_wrestling_lwd">'[1]XI. Table 2 (cont.)'!$AN$36</definedName>
    <definedName name="sch_sp_se_num_g9_wrestling_m">'[1]XI. Table 2 (cont.)'!$AH$36</definedName>
    <definedName name="sch_sp_se_num_g9_wushu_f">'[1]XI. Table 2 (cont.)'!$AJ$37</definedName>
    <definedName name="sch_sp_se_num_g9_wushu_ip">'[1]XI. Table 2 (cont.)'!$AL$37</definedName>
    <definedName name="sch_sp_se_num_g9_wushu_lwd">'[1]XI. Table 2 (cont.)'!$AN$37</definedName>
    <definedName name="sch_sp_se_num_g9_wushu_m">'[1]XI. Table 2 (cont.)'!$AH$37</definedName>
    <definedName name="sch_sp_se_num_officials_aerogymn">'[1]XI. Table 1'!$AE$23</definedName>
    <definedName name="sch_sp_se_num_officials_arch">'[1]XI. Table 1'!$AE$10</definedName>
    <definedName name="sch_sp_se_num_officials_arnis">'[1]XI. Table 1'!$AE$11</definedName>
    <definedName name="sch_sp_se_num_officials_athleticsparagame">'[1]XI. Table 1'!$AE$38</definedName>
    <definedName name="sch_sp_se_num_officials_athlthrow">'[1]XI. Table 1'!$AE$12</definedName>
    <definedName name="sch_sp_se_num_officials_athltrun">'[1]XI. Table 1'!$AE$13</definedName>
    <definedName name="sch_sp_se_num_officials_badm">'[1]XI. Table 1'!$AE$14</definedName>
    <definedName name="sch_sp_se_num_officials_baseball">'[1]XI. Table 1'!$AE$16</definedName>
    <definedName name="sch_sp_se_num_officials_basket">'[1]XI. Table 1'!$AE$15</definedName>
    <definedName name="sch_sp_se_num_officials_billard">'[1]XI. Table 1'!$AE$17</definedName>
    <definedName name="sch_sp_se_num_officials_bocce">'[1]XI. Table 1'!$AE$41</definedName>
    <definedName name="sch_sp_se_num_officials_boxing">'[1]XI. Table 1'!$AE$18</definedName>
    <definedName name="sch_sp_se_num_officials_chess">'[1]XI. Table 1'!$AE$19</definedName>
    <definedName name="sch_sp_se_num_officials_dancesports">'[1]XI. Table 1'!$AE$20</definedName>
    <definedName name="sch_sp_se_num_officials_football">'[1]XI. Table 1'!$AE$21</definedName>
    <definedName name="sch_sp_se_num_officials_futsal">'[1]XI. Table 1'!$AE$22</definedName>
    <definedName name="sch_sp_se_num_officials_goalball">'[1]XI. Table 1'!$AE$40</definedName>
    <definedName name="sch_sp_se_num_officials_mag">'[1]XI. Table 1'!$AE$24</definedName>
    <definedName name="sch_sp_se_num_officials_othersports">'[1]XI. Table 1'!$AE$43</definedName>
    <definedName name="sch_sp_se_num_officials_pencak">'[1]XI. Table 1'!$AE$27</definedName>
    <definedName name="sch_sp_se_num_officials_phgames">'[1]XI. Table 1'!$AE$42</definedName>
    <definedName name="sch_sp_se_num_officials_rg">'[1]XI. Table 1'!$AE$26</definedName>
    <definedName name="sch_sp_se_num_officials_sepaktakraw">'[1]XI. Table 1'!$AE$28</definedName>
    <definedName name="sch_sp_se_num_officials_softball">'[1]XI. Table 1'!$AE$29</definedName>
    <definedName name="sch_sp_se_num_officials_swimming">'[1]XI. Table 1'!$AE$30</definedName>
    <definedName name="sch_sp_se_num_officials_swimmingparagame">'[1]XI. Table 1'!$AE$39</definedName>
    <definedName name="sch_sp_se_num_officials_tabletennis">'[1]XI. Table 1'!$AE$31</definedName>
    <definedName name="sch_sp_se_num_officials_taekwondo">'[1]XI. Table 1'!$AE$32</definedName>
    <definedName name="sch_sp_se_num_officials_tennis">'[1]XI. Table 1'!$AE$33</definedName>
    <definedName name="sch_sp_se_num_officials_volleyball">'[1]XI. Table 1'!$AE$34</definedName>
    <definedName name="sch_sp_se_num_officials_wag">'[1]XI. Table 1'!$AE$25</definedName>
    <definedName name="sch_sp_se_num_officials_weightlifting">'[1]XI. Table 1'!$AE$35</definedName>
    <definedName name="sch_sp_se_num_officials_wrestling">'[1]XI. Table 1'!$AE$36</definedName>
    <definedName name="sch_sp_se_num_officials_wushu">'[1]XI. Table 1'!$AE$37</definedName>
    <definedName name="sch_sp_se_num_officialsjhs_aerogymn">'[1]XI. Table 1'!$AY$23</definedName>
    <definedName name="sch_sp_se_num_officialsjhs_archery">'[1]XI. Table 1'!$AY$10</definedName>
    <definedName name="sch_sp_se_num_officialsjhs_arnis">'[1]XI. Table 1'!$AY$11</definedName>
    <definedName name="sch_sp_se_num_officialsjhs_athl_para">'[1]XI. Table 1'!$AY$38</definedName>
    <definedName name="sch_sp_se_num_officialsjhs_athlthrow">'[1]XI. Table 1'!$AY$12</definedName>
    <definedName name="sch_sp_se_num_officialsjhs_athltrun">'[1]XI. Table 1'!$AY$13</definedName>
    <definedName name="sch_sp_se_num_officialsjhs_badminton">'[1]XI. Table 1'!$AY$14</definedName>
    <definedName name="sch_sp_se_num_officialsjhs_baseball">'[1]XI. Table 1'!$AY$16</definedName>
    <definedName name="sch_sp_se_num_officialsjhs_basketball">'[1]XI. Table 1'!$AY$15</definedName>
    <definedName name="sch_sp_se_num_officialsjhs_billard">'[1]XI. Table 1'!$AY$17</definedName>
    <definedName name="sch_sp_se_num_officialsjhs_bocce_para">'[1]XI. Table 1'!$AY$41</definedName>
    <definedName name="sch_sp_se_num_officialsjhs_boxing">'[1]XI. Table 1'!$AY$18</definedName>
    <definedName name="sch_sp_se_num_officialsjhs_chess">'[1]XI. Table 1'!$AY$19</definedName>
    <definedName name="sch_sp_se_num_officialsjhs_dancesports">'[1]XI. Table 1'!$AY$20</definedName>
    <definedName name="sch_sp_se_num_officialsjhs_football">'[1]XI. Table 1'!$AY$21</definedName>
    <definedName name="sch_sp_se_num_officialsjhs_futsal">'[1]XI. Table 1'!$AY$22</definedName>
    <definedName name="sch_sp_se_num_officialsjhs_goalball_para">'[1]XI. Table 1'!$AY$40</definedName>
    <definedName name="sch_sp_se_num_officialsjhs_mag">'[1]XI. Table 1'!$AY$24</definedName>
    <definedName name="sch_sp_se_num_officialsjhs_othersports_para">'[1]XI. Table 1'!$AY$43</definedName>
    <definedName name="sch_sp_se_num_officialsjhs_pencaksilat">'[1]XI. Table 1'!$AY$27</definedName>
    <definedName name="sch_sp_se_num_officialsjhs_phgames_para">'[1]XI. Table 1'!$AY$42</definedName>
    <definedName name="sch_sp_se_num_officialsjhs_rg">'[1]XI. Table 1'!$AY$26</definedName>
    <definedName name="sch_sp_se_num_officialsjhs_sepaktakraw">'[1]XI. Table 1'!$AY$28</definedName>
    <definedName name="sch_sp_se_num_officialsjhs_softball">'[1]XI. Table 1'!$AY$29</definedName>
    <definedName name="sch_sp_se_num_officialsjhs_swimming">'[1]XI. Table 1'!$AY$30</definedName>
    <definedName name="sch_sp_se_num_officialsjhs_swimming_para">'[1]XI. Table 1'!$AY$39</definedName>
    <definedName name="sch_sp_se_num_officialsjhs_tabletennis">'[1]XI. Table 1'!$AY$31</definedName>
    <definedName name="sch_sp_se_num_officialsjhs_taekwondo">'[1]XI. Table 1'!$AY$32</definedName>
    <definedName name="sch_sp_se_num_officialsjhs_tennis">'[1]XI. Table 1'!$AY$33</definedName>
    <definedName name="sch_sp_se_num_officialsjhs_volleyball">'[1]XI. Table 1'!$AY$34</definedName>
    <definedName name="sch_sp_se_num_officialsjhs_wag">'[1]XI. Table 1'!$AY$25</definedName>
    <definedName name="sch_sp_se_num_officialsjhs_weightlifting">'[1]XI. Table 1'!$AY$35</definedName>
    <definedName name="sch_sp_se_num_officialsjhs_wrestling">'[1]XI. Table 1'!$AY$36</definedName>
    <definedName name="sch_sp_se_num_officialsjhs_wushu">'[1]XI. Table 1'!$AY$37</definedName>
    <definedName name="sch_sp_se_num_officialsshs_aerogymn">'[1]XI. Table 1'!$BS$23</definedName>
    <definedName name="sch_sp_se_num_officialsshs_archery">'[1]XI. Table 1'!$BS$10</definedName>
    <definedName name="sch_sp_se_num_officialsshs_arnis">'[1]XI. Table 1'!$BS$11</definedName>
    <definedName name="sch_sp_se_num_officialsshs_athl_para">'[1]XI. Table 1'!$BS$38</definedName>
    <definedName name="sch_sp_se_num_officialsshs_athlthrow">'[1]XI. Table 1'!$BS$12</definedName>
    <definedName name="sch_sp_se_num_officialsshs_athltrun">'[1]XI. Table 1'!$BS$13</definedName>
    <definedName name="sch_sp_se_num_officialsshs_badminton">'[1]XI. Table 1'!$BS$14</definedName>
    <definedName name="sch_sp_se_num_officialsshs_baseball">'[1]XI. Table 1'!$BS$16</definedName>
    <definedName name="sch_sp_se_num_officialsshs_basketball">'[1]XI. Table 1'!$BS$15</definedName>
    <definedName name="sch_sp_se_num_officialsshs_billard">'[1]XI. Table 1'!$BS$17</definedName>
    <definedName name="sch_sp_se_num_officialsshs_bocce_para">'[1]XI. Table 1'!$BS$41</definedName>
    <definedName name="sch_sp_se_num_officialsshs_boxing">'[1]XI. Table 1'!$BS$18</definedName>
    <definedName name="sch_sp_se_num_officialsshs_chess">'[1]XI. Table 1'!$BS$19</definedName>
    <definedName name="sch_sp_se_num_officialsshs_dancesports">'[1]XI. Table 1'!$BS$20</definedName>
    <definedName name="sch_sp_se_num_officialsshs_football">'[1]XI. Table 1'!$BS$21</definedName>
    <definedName name="sch_sp_se_num_officialsshs_futsal">'[1]XI. Table 1'!$BS$22</definedName>
    <definedName name="sch_sp_se_num_officialsshs_goalball_para">'[1]XI. Table 1'!$BS$40</definedName>
    <definedName name="sch_sp_se_num_officialsshs_mag">'[1]XI. Table 1'!$BS$24</definedName>
    <definedName name="sch_sp_se_num_officialsshs_othersports_para">'[1]XI. Table 1'!$BS$43</definedName>
    <definedName name="sch_sp_se_num_officialsshs_pencaksilat">'[1]XI. Table 1'!$BS$27</definedName>
    <definedName name="sch_sp_se_num_officialsshs_phgames_para">'[1]XI. Table 1'!$BS$42</definedName>
    <definedName name="sch_sp_se_num_officialsshs_rg">'[1]XI. Table 1'!$BS$26</definedName>
    <definedName name="sch_sp_se_num_officialsshs_sepaktakraw">'[1]XI. Table 1'!$BS$28</definedName>
    <definedName name="sch_sp_se_num_officialsshs_softball">'[1]XI. Table 1'!$BS$29</definedName>
    <definedName name="sch_sp_se_num_officialsshs_swimming">'[1]XI. Table 1'!$BS$30</definedName>
    <definedName name="sch_sp_se_num_officialsshs_swimming_para">'[1]XI. Table 1'!$BS$39</definedName>
    <definedName name="sch_sp_se_num_officialsshs_tabletennis">'[1]XI. Table 1'!$BS$31</definedName>
    <definedName name="sch_sp_se_num_officialsshs_taekwondo">'[1]XI. Table 1'!$BS$32</definedName>
    <definedName name="sch_sp_se_num_officialsshs_tennis">'[1]XI. Table 1'!$BS$33</definedName>
    <definedName name="sch_sp_se_num_officialsshs_volleyball">'[1]XI. Table 1'!$BS$34</definedName>
    <definedName name="sch_sp_se_num_officialsshs_wag">'[1]XI. Table 1'!$BS$25</definedName>
    <definedName name="sch_sp_se_num_officialsshs_weightlifting">'[1]XI. Table 1'!$BS$35</definedName>
    <definedName name="sch_sp_se_num_officialsshs_wrestling">'[1]XI. Table 1'!$BS$36</definedName>
    <definedName name="sch_sp_se_num_officialsshs_wushu">'[1]XI. Table 1'!$BS$37</definedName>
    <definedName name="sch_sped_center">'[1]School Profile'!$C$34</definedName>
    <definedName name="sch_sped_classes">'[1]School Profile'!$C$35</definedName>
    <definedName name="sch_spo_arts">'[1]School Profile'!$AI$42</definedName>
    <definedName name="sch_spo_fl">'[1]School Profile'!$S$42</definedName>
    <definedName name="sch_spo_journalism">'[1]School Profile'!$S$43</definedName>
    <definedName name="sch_spo_sports">'[1]School Profile'!$AI$43</definedName>
    <definedName name="sch_spo_stem">'[1]School Profile'!$S$41</definedName>
    <definedName name="sch_spo_tve">'[1]School Profile'!$AI$41</definedName>
    <definedName name="sch_ssp_buildspace">'[1]XI. Box 2'!$V$26</definedName>
    <definedName name="sch_ssp_dance_studio">'[1]XI. Box 2'!$V$17</definedName>
    <definedName name="sch_ssp_goalball_gym">'[1]XI. Box 2'!$V$25</definedName>
    <definedName name="sch_ssp_martial_arts_gym">'[1]XI. Box 2'!$V$16</definedName>
    <definedName name="sch_ssp_multi_purpose_gym">'[1]XI. Box 2'!$V$9</definedName>
    <definedName name="sch_ssp_open_field">'[1]XI. Box 2'!$V$18</definedName>
    <definedName name="sch_ssp_racket_sports_faci_covered">'[1]XI. Box 2'!$V$14</definedName>
    <definedName name="sch_ssp_racket_sports_faci_open">'[1]XI. Box 2'!$V$15</definedName>
    <definedName name="sch_ssp_stand_alone_gym_covered">'[1]XI. Box 2'!$V$11</definedName>
    <definedName name="sch_ssp_stand_alone_gym_open">'[1]XI. Box 2'!$V$12</definedName>
    <definedName name="sch_ssp_swimming_nonstandard">'[1]XI. Box 2'!$V$24</definedName>
    <definedName name="sch_ssp_swimming_standard">'[1]XI. Box 2'!$V$23</definedName>
    <definedName name="sch_ssp_track_oval_nonstandard">'[1]XI. Box 2'!$V$21</definedName>
    <definedName name="sch_ssp_track_oval_standard">'[1]XI. Box 2'!$V$20</definedName>
    <definedName name="sch_struct_hazard_measure_firewall">'[1]XII. Box 2'!$J$31</definedName>
    <definedName name="sch_struct_hazard_measure_floodwall">'[1]XII. Box 2'!$J$29</definedName>
    <definedName name="sch_struct_hazard_measure_others">'[1]XII. Box 2'!$X$31</definedName>
    <definedName name="sch_struct_hazard_measure_others_specify">'[1]XII. Box 2'!$AE$31</definedName>
    <definedName name="sch_struct_hazard_measure_seawall">'[1]XII. Box 2'!$J$33</definedName>
    <definedName name="sch_struct_hazard_measure_slopeprotect">'[1]XII. Box 2'!$X$29</definedName>
    <definedName name="sch_taken_action_result_fepp">'[1]XII. Box 3 (Parts 1 and 2)'!$D$27</definedName>
    <definedName name="sch_teach_both_smoke_endsennds_shs">'IX. Boxes 5 &amp; 6'!$AG$49</definedName>
    <definedName name="sch_teach_provide_bti_shs">'IX. Boxes 5 &amp; 6'!$AG$51</definedName>
    <definedName name="sch_teacher_adviser_bkd_has_yes">'[1]V. Box 4'!$L$37</definedName>
    <definedName name="sch_teacher_adviser_bkd_sdo_grant_yes">'[1]V. Box 4'!$AJ$37</definedName>
    <definedName name="sch_teacher_adviser_bkd_ta_reduced_yes">'[1]V. Box 4'!$AB$37</definedName>
    <definedName name="sch_teacher_adviser_bkd_tenure_0_3yrs">'[1]V. Box 4'!$T$37</definedName>
    <definedName name="sch_teacher_adviser_bkd_tenure_10yrs">'[1]V. Box 4'!$X$38</definedName>
    <definedName name="sch_teacher_adviser_bkd_tenure_4_6yrs">'[1]V. Box 4'!$X$37</definedName>
    <definedName name="sch_teacher_adviser_bkd_tenure_7_9yrs">'[1]V. Box 4'!$T$38</definedName>
    <definedName name="sch_teacher_adviser_yes_o_has_yes">'[1]V. Box 4'!$L$27</definedName>
    <definedName name="sch_teacher_adviser_yes_o_reduced_yes">'[1]V. Box 4'!$AB$27</definedName>
    <definedName name="sch_teacher_adviser_yes_o_sdo_grant_yes">'[1]V. Box 4'!$AJ$27</definedName>
    <definedName name="sch_teacher_adviser_yes_o_tenure_0_3yrs">'[1]V. Box 4'!$T$27</definedName>
    <definedName name="sch_teacher_adviser_yes_o_tenure_10yrs">'[1]V. Box 4'!$X$28</definedName>
    <definedName name="sch_teacher_adviser_yes_o_tenure_4_6yrs">'[1]V. Box 4'!$X$27</definedName>
    <definedName name="sch_teacher_adviser_yes_o_tenure_7_9yrs">'[1]V. Box 4'!$T$28</definedName>
    <definedName name="sch_teachesccam_ap_g1">'[1]XII. Box 4 (Part 1)'!$AU$13</definedName>
    <definedName name="sch_teachesccam_ap_g2">'[1]XII. Box 4 (Part 1)'!$AX$13</definedName>
    <definedName name="sch_teachesccam_ap_g3">'[1]XII. Box 4 (Part 1)'!$BA$13</definedName>
    <definedName name="sch_teachesccam_ap_g4">'[1]XII. Box 4 (Part 1)'!$BD$13</definedName>
    <definedName name="sch_teachesccam_ap_g5">'[1]XII. Box 4 (Part 1)'!$BG$13</definedName>
    <definedName name="sch_teachesccam_ap_g6">'[1]XII. Box 4 (Part 1)'!$BJ$13</definedName>
    <definedName name="sch_teachesccam_ap_k">'[1]XII. Box 4 (Part 1)'!$AR$13</definedName>
    <definedName name="sch_teachesccam_epp_g1">'[1]XII. Box 4 (Part 1)'!$AU$17</definedName>
    <definedName name="sch_teachesccam_epp_g2">'[1]XII. Box 4 (Part 1)'!$AX$17</definedName>
    <definedName name="sch_teachesccam_epp_g3">'[1]XII. Box 4 (Part 1)'!$BA$17</definedName>
    <definedName name="sch_teachesccam_epp_g4">'[1]XII. Box 4 (Part 1)'!$BD$17</definedName>
    <definedName name="sch_teachesccam_epp_g5">'[1]XII. Box 4 (Part 1)'!$BG$17</definedName>
    <definedName name="sch_teachesccam_epp_g6">'[1]XII. Box 4 (Part 1)'!$BJ$17</definedName>
    <definedName name="sch_teachesccam_epp_k">'[1]XII. Box 4 (Part 1)'!$AR$17</definedName>
    <definedName name="sch_teachesccam_esp_g1">'[1]XII. Box 4 (Part 1)'!$AU$14</definedName>
    <definedName name="sch_teachesccam_esp_g2">'[1]XII. Box 4 (Part 1)'!$AX$14</definedName>
    <definedName name="sch_teachesccam_esp_g3">'[1]XII. Box 4 (Part 1)'!$BA$14</definedName>
    <definedName name="sch_teachesccam_esp_g4">'[1]XII. Box 4 (Part 1)'!$BD$14</definedName>
    <definedName name="sch_teachesccam_esp_g5">'[1]XII. Box 4 (Part 1)'!$BG$14</definedName>
    <definedName name="sch_teachesccam_esp_g6">'[1]XII. Box 4 (Part 1)'!$BJ$14</definedName>
    <definedName name="sch_teachesccam_esp_k">'[1]XII. Box 4 (Part 1)'!$AR$14</definedName>
    <definedName name="sch_teachesccam_health_g1">'[1]XII. Box 4 (Part 1)'!$AU$16</definedName>
    <definedName name="sch_teachesccam_health_g2">'[1]XII. Box 4 (Part 1)'!$AX$16</definedName>
    <definedName name="sch_teachesccam_health_g3">'[1]XII. Box 4 (Part 1)'!$BA$16</definedName>
    <definedName name="sch_teachesccam_health_g4">'[1]XII. Box 4 (Part 1)'!$BD$16</definedName>
    <definedName name="sch_teachesccam_health_g5">'[1]XII. Box 4 (Part 1)'!$BG$16</definedName>
    <definedName name="sch_teachesccam_health_g6">'[1]XII. Box 4 (Part 1)'!$BJ$16</definedName>
    <definedName name="sch_teachesccam_health_k">'[1]XII. Box 4 (Part 1)'!$AR$16</definedName>
    <definedName name="sch_teachesccam_others_g1">'[1]XII. Box 4 (Part 1)'!$AU$18</definedName>
    <definedName name="sch_teachesccam_others_g2">'[1]XII. Box 4 (Part 1)'!$AX$18</definedName>
    <definedName name="sch_teachesccam_others_g3">'[1]XII. Box 4 (Part 1)'!$BA$18</definedName>
    <definedName name="sch_teachesccam_others_g4">'[1]XII. Box 4 (Part 1)'!$BD$18</definedName>
    <definedName name="sch_teachesccam_others_g5">'[1]XII. Box 4 (Part 1)'!$BG$18</definedName>
    <definedName name="sch_teachesccam_others_g6">'[1]XII. Box 4 (Part 1)'!$BJ$18</definedName>
    <definedName name="sch_teachesccam_others_k">'[1]XII. Box 4 (Part 1)'!$AR$18</definedName>
    <definedName name="sch_teachesccam_pe_g1">'[1]XII. Box 4 (Part 1)'!$AU$15</definedName>
    <definedName name="sch_teachesccam_pe_g2">'[1]XII. Box 4 (Part 1)'!$AX$15</definedName>
    <definedName name="sch_teachesccam_pe_g3">'[1]XII. Box 4 (Part 1)'!$BA$15</definedName>
    <definedName name="sch_teachesccam_pe_g4">'[1]XII. Box 4 (Part 1)'!$BD$15</definedName>
    <definedName name="sch_teachesccam_pe_g5">'[1]XII. Box 4 (Part 1)'!$BG$15</definedName>
    <definedName name="sch_teachesccam_pe_g6">'[1]XII. Box 4 (Part 1)'!$BJ$15</definedName>
    <definedName name="sch_teachesccam_pe_k">'[1]XII. Box 4 (Part 1)'!$AR$15</definedName>
    <definedName name="sch_teachesccam_science_g1">'[1]XII. Box 4 (Part 1)'!$AU$12</definedName>
    <definedName name="sch_teachesccam_science_g2">'[1]XII. Box 4 (Part 1)'!$AX$12</definedName>
    <definedName name="sch_teachesccam_science_g3">'[1]XII. Box 4 (Part 1)'!$BA$12</definedName>
    <definedName name="sch_teachesccam_science_g4">'[1]XII. Box 4 (Part 1)'!$BD$12</definedName>
    <definedName name="sch_teachesccam_science_g5">'[1]XII. Box 4 (Part 1)'!$BG$12</definedName>
    <definedName name="sch_teachesccam_science_g6">'[1]XII. Box 4 (Part 1)'!$BJ$12</definedName>
    <definedName name="sch_teachesccam_science_k">'[1]XII. Box 4 (Part 1)'!$AR$12</definedName>
    <definedName name="sch_teachesdrrm_ap_g1">'[1]XII. Box 4 (Part 1)'!$Z$13</definedName>
    <definedName name="sch_teachesdrrm_ap_g2">'[1]XII. Box 4 (Part 1)'!$AC$13</definedName>
    <definedName name="sch_teachesdrrm_ap_g3">'[1]XII. Box 4 (Part 1)'!$AF$13</definedName>
    <definedName name="sch_teachesdrrm_ap_g4">'[1]XII. Box 4 (Part 1)'!$AI$13</definedName>
    <definedName name="sch_teachesdrrm_ap_g5">'[1]XII. Box 4 (Part 1)'!$AL$13</definedName>
    <definedName name="sch_teachesdrrm_ap_g6">'[1]XII. Box 4 (Part 1)'!$AO$13</definedName>
    <definedName name="sch_teachesdrrm_ap_k">'[1]XII. Box 4 (Part 1)'!$W$13</definedName>
    <definedName name="sch_teachesdrrm_epp_g1">'[1]XII. Box 4 (Part 1)'!$Z$17</definedName>
    <definedName name="sch_teachesdrrm_epp_g2">'[1]XII. Box 4 (Part 1)'!$AC$17</definedName>
    <definedName name="sch_teachesdrrm_epp_g3">'[1]XII. Box 4 (Part 1)'!$AF$17</definedName>
    <definedName name="sch_teachesdrrm_epp_g4">'[1]XII. Box 4 (Part 1)'!$AI$17</definedName>
    <definedName name="sch_teachesdrrm_epp_g5">'[1]XII. Box 4 (Part 1)'!$AL$17</definedName>
    <definedName name="sch_teachesdrrm_epp_g6">'[1]XII. Box 4 (Part 1)'!$AO$17</definedName>
    <definedName name="sch_teachesdrrm_epp_k">'[1]XII. Box 4 (Part 1)'!$W$17</definedName>
    <definedName name="sch_teachesdrrm_esp_g1">'[1]XII. Box 4 (Part 1)'!$Z$14</definedName>
    <definedName name="sch_teachesdrrm_esp_g2">'[1]XII. Box 4 (Part 1)'!$AC$14</definedName>
    <definedName name="sch_teachesdrrm_esp_g3">'[1]XII. Box 4 (Part 1)'!$AF$14</definedName>
    <definedName name="sch_teachesdrrm_esp_g4">'[1]XII. Box 4 (Part 1)'!$AI$14</definedName>
    <definedName name="sch_teachesdrrm_esp_g5">'[1]XII. Box 4 (Part 1)'!$AL$14</definedName>
    <definedName name="sch_teachesdrrm_esp_g6">'[1]XII. Box 4 (Part 1)'!$AO$14</definedName>
    <definedName name="sch_teachesdrrm_esp_k">'[1]XII. Box 4 (Part 1)'!$W$14</definedName>
    <definedName name="sch_teachesdrrm_health_g1">'[1]XII. Box 4 (Part 1)'!$Z$16</definedName>
    <definedName name="sch_teachesdrrm_health_g2">'[1]XII. Box 4 (Part 1)'!$AC$16</definedName>
    <definedName name="sch_teachesdrrm_health_g3">'[1]XII. Box 4 (Part 1)'!$AF$16</definedName>
    <definedName name="sch_teachesdrrm_health_g4">'[1]XII. Box 4 (Part 1)'!$AI$16</definedName>
    <definedName name="sch_teachesdrrm_health_g5">'[1]XII. Box 4 (Part 1)'!$AL$16</definedName>
    <definedName name="sch_teachesdrrm_health_g6">'[1]XII. Box 4 (Part 1)'!$AO$16</definedName>
    <definedName name="sch_teachesdrrm_health_k">'[1]XII. Box 4 (Part 1)'!$W$16</definedName>
    <definedName name="sch_teachesdrrm_others_g1">'[1]XII. Box 4 (Part 1)'!$Z$18</definedName>
    <definedName name="sch_teachesdrrm_others_g2">'[1]XII. Box 4 (Part 1)'!$AC$18</definedName>
    <definedName name="sch_teachesdrrm_others_g3">'[1]XII. Box 4 (Part 1)'!$AF$18</definedName>
    <definedName name="sch_teachesdrrm_others_g4">'[1]XII. Box 4 (Part 1)'!$AI$18</definedName>
    <definedName name="sch_teachesdrrm_others_g5">'[1]XII. Box 4 (Part 1)'!$AL$18</definedName>
    <definedName name="sch_teachesdrrm_others_g6">'[1]XII. Box 4 (Part 1)'!$AO$18</definedName>
    <definedName name="sch_teachesdrrm_others_k">'[1]XII. Box 4 (Part 1)'!$W$18</definedName>
    <definedName name="sch_teachesdrrm_pe_g1">'[1]XII. Box 4 (Part 1)'!$Z$15</definedName>
    <definedName name="sch_teachesdrrm_pe_g2">'[1]XII. Box 4 (Part 1)'!$AC$15</definedName>
    <definedName name="sch_teachesdrrm_pe_g3">'[1]XII. Box 4 (Part 1)'!$AF$15</definedName>
    <definedName name="sch_teachesdrrm_pe_g4">'[1]XII. Box 4 (Part 1)'!$AI$15</definedName>
    <definedName name="sch_teachesdrrm_pe_g5">'[1]XII. Box 4 (Part 1)'!$AL$15</definedName>
    <definedName name="sch_teachesdrrm_pe_g6">'[1]XII. Box 4 (Part 1)'!$AO$15</definedName>
    <definedName name="sch_teachesdrrm_pe_k">'[1]XII. Box 4 (Part 1)'!$W$15</definedName>
    <definedName name="sch_teachesdrrm_science_g1">'[1]XII. Box 4 (Part 1)'!$Z$12</definedName>
    <definedName name="sch_teachesdrrm_science_g2">'[1]XII. Box 4 (Part 1)'!$AC$12</definedName>
    <definedName name="sch_teachesdrrm_science_g3">'[1]XII. Box 4 (Part 1)'!$AF$12</definedName>
    <definedName name="sch_teachesdrrm_science_g4">'[1]XII. Box 4 (Part 1)'!$AI$12</definedName>
    <definedName name="sch_teachesdrrm_science_g5">'[1]XII. Box 4 (Part 1)'!$AL$12</definedName>
    <definedName name="sch_teachesdrrm_science_g6">'[1]XII. Box 4 (Part 1)'!$AO$12</definedName>
    <definedName name="sch_teachesdrrm_science_k">'[1]XII. Box 4 (Part 1)'!$W$12</definedName>
    <definedName name="sch_tel_no">'[1]School Profile'!$AH$25</definedName>
    <definedName name="sch_tle_ccam_g10">'[1]XII. Box 4 (Part 1)'!$AR$28</definedName>
    <definedName name="sch_tle_ccam_g7">'[1]XII. Box 4 (Part 1)'!$AI$28</definedName>
    <definedName name="sch_tle_ccam_g8">'[1]XII. Box 4 (Part 1)'!$AL$28</definedName>
    <definedName name="sch_tle_ccam_g9">'[1]XII. Box 4 (Part 1)'!$AO$28</definedName>
    <definedName name="sch_tle_drrm_g10">'[1]XII. Box 4 (Part 1)'!$AF$28</definedName>
    <definedName name="sch_tle_drrm_g7">'[1]XII. Box 4 (Part 1)'!$W$28</definedName>
    <definedName name="sch_tle_drrm_g8">'[1]XII. Box 4 (Part 1)'!$Z$28</definedName>
    <definedName name="sch_tle_drrm_g9">'[1]XII. Box 4 (Part 1)'!$AC$28</definedName>
    <definedName name="sch_trained_asrh">'IX. Boxes 5 &amp; 6'!$AK$15</definedName>
    <definedName name="sch_use_deped_dev_lr_drrmccampbp">'[1]XII. Box 4 (Part 3b)'!$D$39</definedName>
    <definedName name="sch_use_ip_mt_teach_learn_kto3">'[1]XIII. Box 1 (Part A)'!$AL$25</definedName>
    <definedName name="sch_used_deped_dev_mhpss_standard_manual">'[1]XII. Box 4 (Parts 3c &amp; 3d)'!$D$27</definedName>
    <definedName name="sch_used_deped_standard_training_manual_drrmccampbp">'[1]XII. Box 4 (Parts 3c &amp; 3d)'!$D$15</definedName>
    <definedName name="sch_uses_drrm_dev_drrmccampbp_iec_materials">'[1]XII. Box 4 (Part 2)'!$D$7</definedName>
    <definedName name="sch_web_add">'[1]School Profile'!$AH$29</definedName>
    <definedName name="sch_workexp_IPcomm_devtlessonplans_ifyes">'[1]XIII. Box 1 (Part A)'!$AL$23</definedName>
    <definedName name="sch_ws_drinking_yes">'IX. Boxes 2 &amp; 3; Table 2'!$Z$39</definedName>
    <definedName name="sch_ws_ifyes_pipe">'IX. Boxes 2 &amp; 3; Table 2'!$Z$34</definedName>
    <definedName name="sch_ws_ifyes_rainwater">'IX. Boxes 2 &amp; 3; Table 2'!$Z$36</definedName>
    <definedName name="sch_ws_ifyes_well">'IX. Boxes 2 &amp; 3; Table 2'!$Z$35</definedName>
    <definedName name="sch_yeso_bkd_ppa_alcohol_prev_amount">'[1]V. Box 4'!$X$66</definedName>
    <definedName name="sch_yeso_bkd_ppa_alcohol_prev_conducted">'[1]V. Box 4'!$T$66</definedName>
    <definedName name="sch_yeso_bkd_ppa_alcohol_prev_lgusef">'[1]V. Box 4'!$AF$66</definedName>
    <definedName name="sch_yeso_bkd_ppa_alcohol_prev_mooe">'[1]V. Box 4'!$AB$66</definedName>
    <definedName name="sch_yeso_bkd_ppa_alcohol_prev_other">'[1]V. Box 4'!$AN$66</definedName>
    <definedName name="sch_yeso_bkd_ppa_alcohol_prev_ptaprivate">'[1]V. Box 4'!$AJ$66</definedName>
    <definedName name="sch_yeso_bkd_ppa_drug_prev_amount">'[1]V. Box 4'!$X$64</definedName>
    <definedName name="sch_yeso_bkd_ppa_drug_prev_conducted">'[1]V. Box 4'!$T$64</definedName>
    <definedName name="sch_yeso_bkd_ppa_drug_prev_lgusef">'[1]V. Box 4'!$AF$64</definedName>
    <definedName name="sch_yeso_bkd_ppa_drug_prev_mooe">'[1]V. Box 4'!$AB$64</definedName>
    <definedName name="sch_yeso_bkd_ppa_drug_prev_other">'[1]V. Box 4'!$AN$64</definedName>
    <definedName name="sch_yeso_bkd_ppa_drug_prev_ptaprivate">'[1]V. Box 4'!$AJ$64</definedName>
    <definedName name="sch_yeso_bkd_ppa_other_vices_amount">'[1]V. Box 4'!$X$67</definedName>
    <definedName name="sch_yeso_bkd_ppa_other_vices_conducted">'[1]V. Box 4'!$T$67</definedName>
    <definedName name="sch_yeso_bkd_ppa_other_vices_lgusef">'[1]V. Box 4'!$AF$67</definedName>
    <definedName name="sch_yeso_bkd_ppa_other_vices_mooe">'[1]V. Box 4'!$AB$67</definedName>
    <definedName name="sch_yeso_bkd_ppa_other_vices_other">'[1]V. Box 4'!$AN$67</definedName>
    <definedName name="sch_yeso_bkd_ppa_other_vices_ptaprivate">'[1]V. Box 4'!$AJ$67</definedName>
    <definedName name="sch_yeso_bkd_ppa_tobacco_vape_prev_amount">'[1]V. Box 4'!$X$65</definedName>
    <definedName name="sch_yeso_bkd_ppa_tobacco_vape_prev_conducted">'[1]V. Box 4'!$T$65</definedName>
    <definedName name="sch_yeso_bkd_ppa_tobacco_vape_prev_lgusef">'[1]V. Box 4'!$AF$65</definedName>
    <definedName name="sch_yeso_bkd_ppa_tobacco_vape_prev_mooe">'[1]V. Box 4'!$AB$65</definedName>
    <definedName name="sch_yeso_bkd_ppa_tobacco_vape_prev_other">'[1]V. Box 4'!$AN$65</definedName>
    <definedName name="sch_yeso_bkd_ppa_tobacco_vape_prev_ptaprivate">'[1]V. Box 4'!$AJ$65</definedName>
    <definedName name="sch_yeso_clean_conducted">'[1]V. Box 4'!$T$58</definedName>
    <definedName name="sch_yeso_clean_lgu">'[1]V. Box 4'!$AF$58</definedName>
    <definedName name="sch_yeso_clean_mooe">'[1]V. Box 4'!$AB$58</definedName>
    <definedName name="sch_yeso_clean_other">'[1]V. Box 4'!$AN$58</definedName>
    <definedName name="sch_yeso_clean_pta_private">'[1]V. Box 4'!$AJ$58</definedName>
    <definedName name="sch_yeso_clean_total">'[1]V. Box 4'!$X$58</definedName>
    <definedName name="sch_yeso_dedicated_room_yes">'[1]V. Box 4'!$L$43</definedName>
    <definedName name="sch_yeso_dyfc_yes">'[1]V. Box 4'!$L$72</definedName>
    <definedName name="sch_yeso_ecotourism_conducted">'[1]V. Box 4'!$T$61</definedName>
    <definedName name="sch_yeso_ecotourism_lgu">'[1]V. Box 4'!$AF$61</definedName>
    <definedName name="sch_yeso_ecotourism_mooe">'[1]V. Box 4'!$AB$61</definedName>
    <definedName name="sch_yeso_ecotourism_other">'[1]V. Box 4'!$AN$61</definedName>
    <definedName name="sch_yeso_ecotourism_pta_private">'[1]V. Box 4'!$AJ$61</definedName>
    <definedName name="sch_yeso_ecotourism_total">'[1]V. Box 4'!$X$61</definedName>
    <definedName name="sch_yeso_eiea_conducted">'[1]V. Box 4'!$T$56</definedName>
    <definedName name="sch_yeso_eiea_lgu">'[1]V. Box 4'!$AF$56</definedName>
    <definedName name="sch_yeso_eiea_mooe">'[1]V. Box 4'!$AB$56</definedName>
    <definedName name="sch_yeso_eiea_other">'[1]V. Box 4'!$AN$56</definedName>
    <definedName name="sch_yeso_eiea_pta_private">'[1]V. Box 4'!$AJ$56</definedName>
    <definedName name="sch_yeso_eiea_total">'[1]V. Box 4'!$X$56</definedName>
    <definedName name="sch_yeso_environment_conducted">'[1]V. Box 4'!$T$62</definedName>
    <definedName name="sch_yeso_environment_lgu">'[1]V. Box 4'!$AF$62</definedName>
    <definedName name="sch_yeso_environment_mooe">'[1]V. Box 4'!$AB$62</definedName>
    <definedName name="sch_yeso_environment_other">'[1]V. Box 4'!$AN$62</definedName>
    <definedName name="sch_yeso_environment_pta_private">'[1]V. Box 4'!$AJ$62</definedName>
    <definedName name="sch_yeso_environment_total">'[1]V. Box 4'!$X$62</definedName>
    <definedName name="sch_yeso_member_bkd_jhs_f">'[1]V. Box 4'!$X$12</definedName>
    <definedName name="sch_yeso_member_bkd_jhs_m">'[1]V. Box 4'!$U$12</definedName>
    <definedName name="sch_yeso_member_bkd_shs_f">'[1]V. Box 4'!$X$13</definedName>
    <definedName name="sch_yeso_member_bkd_shs_m">'[1]V. Box 4'!$U$13</definedName>
    <definedName name="sch_yeso_member_yeso_elem_f">'[1]V. Box 4'!$O$11</definedName>
    <definedName name="sch_yeso_member_yeso_elem_m">'[1]V. Box 4'!$L$11</definedName>
    <definedName name="sch_yeso_member_yeso_jhs_f">'[1]V. Box 4'!$O$12</definedName>
    <definedName name="sch_yeso_member_yeso_jhs_m">'[1]V. Box 4'!$L$12</definedName>
    <definedName name="sch_yeso_member_yeso_shs_f">'[1]V. Box 4'!$O$13</definedName>
    <definedName name="sch_yeso_member_yeso_shs_m">'[1]V. Box 4'!$L$13</definedName>
    <definedName name="sch_yeso_outreach_conducted">'[1]V. Box 4'!$T$60</definedName>
    <definedName name="sch_yeso_outreach_lgu">'[1]V. Box 4'!$AF$60</definedName>
    <definedName name="sch_yeso_outreach_mooe">'[1]V. Box 4'!$AB$60</definedName>
    <definedName name="sch_yeso_outreach_other">'[1]V. Box 4'!$AN$60</definedName>
    <definedName name="sch_yeso_outreach_pta_private">'[1]V. Box 4'!$AJ$60</definedName>
    <definedName name="sch_yeso_outreach_total">'[1]V. Box 4'!$X$60</definedName>
    <definedName name="sch_yeso_resources_conducted">'[1]V. Box 4'!$T$57</definedName>
    <definedName name="sch_yeso_resources_lgu">'[1]V. Box 4'!$AF$57</definedName>
    <definedName name="sch_yeso_resources_mooe">'[1]V. Box 4'!$AB$57</definedName>
    <definedName name="sch_yeso_resources_other">'[1]V. Box 4'!$AN$57</definedName>
    <definedName name="sch_yeso_resources_pta_private">'[1]V. Box 4'!$AJ$57</definedName>
    <definedName name="sch_yeso_resources_total">'[1]V. Box 4'!$X$57</definedName>
    <definedName name="sch_yeso_sdo_grant_yes">'[1]V. Box 4'!$AJ$23</definedName>
    <definedName name="sch_yeso_seed_conducted">'[1]V. Box 4'!$T$54</definedName>
    <definedName name="sch_yeso_seed_lgu">'[1]V. Box 4'!$AF$54</definedName>
    <definedName name="sch_yeso_seed_mooe">'[1]V. Box 4'!$AB$54</definedName>
    <definedName name="sch_yeso_seed_other">'[1]V. Box 4'!$AN$54</definedName>
    <definedName name="sch_yeso_seed_pta_private">'[1]V. Box 4'!$AJ$54</definedName>
    <definedName name="sch_yeso_seed_total">'[1]V. Box 4'!$X$54</definedName>
    <definedName name="sch_yeso_teacheradv_0to3">'[1]V. Box 4'!$T$23</definedName>
    <definedName name="sch_yeso_teacheradv_10above">'[1]V. Box 4'!$X$24</definedName>
    <definedName name="sch_yeso_teacheradv_4to6">'[1]V. Box 4'!$X$23</definedName>
    <definedName name="sch_yeso_teacheradv_7to9">'[1]V. Box 4'!$T$24</definedName>
    <definedName name="sch_yeso_teacheradv_reduced_yes">'[1]V. Box 4'!$AB$23</definedName>
    <definedName name="sch_yeso_teacheradv_yes">'[1]V. Box 4'!$L$23</definedName>
    <definedName name="sch_yeso_trees_conducted">'[1]V. Box 4'!$T$55</definedName>
    <definedName name="sch_yeso_trees_lgu">'[1]V. Box 4'!$AF$55</definedName>
    <definedName name="sch_yeso_trees_mooe">'[1]V. Box 4'!$AB$55</definedName>
    <definedName name="sch_yeso_trees_other">'[1]V. Box 4'!$AN$55</definedName>
    <definedName name="sch_yeso_trees_pta_private">'[1]V. Box 4'!$AJ$55</definedName>
    <definedName name="sch_yeso_trees_total">'[1]V. Box 4'!$X$55</definedName>
    <definedName name="sch_yeso_waste_conducted">'[1]V. Box 4'!$T$59</definedName>
    <definedName name="sch_yeso_waste_lgu">'[1]V. Box 4'!$AF$59</definedName>
    <definedName name="sch_yeso_waste_mooe">'[1]V. Box 4'!$AB$59</definedName>
    <definedName name="sch_yeso_waste_other">'[1]V. Box 4'!$AN$59</definedName>
    <definedName name="sch_yeso_waste_pta_private">'[1]V. Box 4'!$AJ$59</definedName>
    <definedName name="sch_yeso_waste_total">'[1]V. Box 4'!$X$59</definedName>
    <definedName name="school_profile_type">'[1]School Profile'!$B$2</definedName>
    <definedName name="sciteach_bio_f">'[1]IV. Tables 12 &amp; 13'!$T$10</definedName>
    <definedName name="sciteach_bio_m">'[1]IV. Tables 12 &amp; 13'!$O$10</definedName>
    <definedName name="sciteach_chem_f">'[1]IV. Tables 12 &amp; 13'!$T$11</definedName>
    <definedName name="sciteach_chem_m">'[1]IV. Tables 12 &amp; 13'!$O$11</definedName>
    <definedName name="sciteach_gensci_f">'[1]IV. Tables 12 &amp; 13'!$T$9</definedName>
    <definedName name="sciteach_gensci_m">'[1]IV. Tables 12 &amp; 13'!$O$9</definedName>
    <definedName name="sciteach_phys_f">'[1]IV. Tables 12 &amp; 13'!$T$12</definedName>
    <definedName name="sciteach_phys_m">'[1]IV. Tables 12 &amp; 13'!$O$12</definedName>
    <definedName name="sciteach_stem_f">'[1]IV. Tables 12 &amp; 13'!$T$13</definedName>
    <definedName name="sciteach_stem_m">'[1]IV. Tables 12 &amp; 13'!$O$13</definedName>
    <definedName name="sdo_head_name">'[1]School Profile'!$AM$47</definedName>
    <definedName name="sdo_pos_title">'[1]School Profile'!$AM$49</definedName>
    <definedName name="shs_chk_IU">"Check Box 2"</definedName>
    <definedName name="shs_sch_chk_annex_ext_sch">"Check Box 1"</definedName>
    <definedName name="slrapp_conduct_student_sch_risk_management">'[1]XII. Box 3 (Parts 1 and 2)'!$D$6</definedName>
    <definedName name="slrapp_incorp_studschwatch_hazmap_drrmccampbpsip">'[1]XII. Box 3 (Parts 1 and 2)'!$D$8</definedName>
    <definedName name="slrpc_govt_bully">'[1]X. Box 2 (items 5 &amp; 6)'!$AH$23</definedName>
    <definedName name="slrpc_govt_car">'[1]X. Box 2 (items 5 &amp; 6)'!$AH$25</definedName>
    <definedName name="slrpc_govt_child">'[1]X. Box 2 (items 5 &amp; 6)'!$AH$24</definedName>
    <definedName name="slrpc_govt_cicl">'[1]X. Box 2 (items 5 &amp; 6)'!$AH$26</definedName>
    <definedName name="slrpc_govt_other">'[1]X. Box 2 (items 5 &amp; 6)'!$AH$27</definedName>
    <definedName name="slrpc_monitoring_bully">'[1]X. Box 2 (items 5 &amp; 6)'!$X$23</definedName>
    <definedName name="slrpc_monitoring_car">'[1]X. Box 2 (items 5 &amp; 6)'!$X$25</definedName>
    <definedName name="slrpc_monitoring_child">'[1]X. Box 2 (items 5 &amp; 6)'!$X$24</definedName>
    <definedName name="slrpc_monitoring_cicl">'[1]X. Box 2 (items 5 &amp; 6)'!$X$26</definedName>
    <definedName name="slrpc_monitoring_other">'[1]X. Box 2 (items 5 &amp; 6)'!$X$27</definedName>
    <definedName name="slrpc_nongovt_bully">'[1]X. Box 2 (items 5 &amp; 6)'!$AR$23</definedName>
    <definedName name="slrpc_nongovt_car">'[1]X. Box 2 (items 5 &amp; 6)'!$AR$25</definedName>
    <definedName name="slrpc_nongovt_child">'[1]X. Box 2 (items 5 &amp; 6)'!$AR$24</definedName>
    <definedName name="slrpc_nongovt_cicl">'[1]X. Box 2 (items 5 &amp; 6)'!$AR$26</definedName>
    <definedName name="slrpc_nongovt_other">'[1]X. Box 2 (items 5 &amp; 6)'!$AR$27</definedName>
    <definedName name="slrpc_resolved_bully">'[1]X. Box 2 (items 5 &amp; 6)'!$N$23</definedName>
    <definedName name="slrpc_resolved_other">'[1]X. Box 2 (items 5 &amp; 6)'!$N$27</definedName>
    <definedName name="spec_cont_plan_hih_armed_conflict">'[1]XII. Box 3 (Parts 1 and 2)'!$AC$13</definedName>
    <definedName name="spec_cont_plan_hih_bomb_threats">'[1]XII. Box 3 (Parts 1 and 2)'!$AC$14</definedName>
    <definedName name="spec_cont_plan_hih_civilian">'[1]XII. Box 3 (Parts 1 and 2)'!$AC$15</definedName>
    <definedName name="spec_cont_plan_hih_fire">'[1]XII. Box 3 (Parts 1 and 2)'!$AC$16</definedName>
    <definedName name="spec_cont_plan_hih_others">'[1]XII. Box 3 (Parts 1 and 2)'!$AC$17</definedName>
    <definedName name="spec_cont_plan_hih_others_specify">'[1]XII. Box 3 (Parts 1 and 2)'!$AJ$17</definedName>
    <definedName name="spec_cont_plan_nh_drought">'[1]XII. Box 3 (Parts 1 and 2)'!$E$16</definedName>
    <definedName name="spec_cont_plan_nh_earthquake">'[1]XII. Box 3 (Parts 1 and 2)'!$Q$13</definedName>
    <definedName name="spec_cont_plan_nh_fire">'[1]XII. Box 3 (Parts 1 and 2)'!$Q$16</definedName>
    <definedName name="spec_cont_plan_nh_flood">'[1]XII. Box 3 (Parts 1 and 2)'!$E$15</definedName>
    <definedName name="spec_cont_plan_nh_landslide">'[1]XII. Box 3 (Parts 1 and 2)'!$E$17</definedName>
    <definedName name="spec_cont_plan_nh_others">'[1]XII. Box 3 (Parts 1 and 2)'!$Q$17</definedName>
    <definedName name="spec_cont_plan_nh_others_specify">'[1]XII. Box 3 (Parts 1 and 2)'!$X$17</definedName>
    <definedName name="spec_cont_plan_nh_stormsurge">'[1]XII. Box 3 (Parts 1 and 2)'!$E$14</definedName>
    <definedName name="spec_cont_plan_nh_tropicalcyclone">'[1]XII. Box 3 (Parts 1 and 2)'!$E$13</definedName>
    <definedName name="spec_cont_plan_nh_tsunami">'[1]XII. Box 3 (Parts 1 and 2)'!$Q$15</definedName>
    <definedName name="spec_cont_plan_nh_volcaniceruption">'[1]XII. Box 3 (Parts 1 and 2)'!$Q$14</definedName>
    <definedName name="sses_f_g1">'[1]I. Tables 1 &amp; 2'!$F$8</definedName>
    <definedName name="sses_f_g2">'[1]I. Tables 1 &amp; 2'!$L$8</definedName>
    <definedName name="sses_f_g3">'[1]I. Tables 1 &amp; 2'!$R$8</definedName>
    <definedName name="sses_f_g4">'[1]I. Tables 1 &amp; 2'!$X$8</definedName>
    <definedName name="sses_f_g5">'[1]I. Tables 1 &amp; 2'!$AD$8</definedName>
    <definedName name="sses_f_g6">'[1]I. Tables 1 &amp; 2'!$AJ$8</definedName>
    <definedName name="sses_m_g1">'[1]I. Tables 1 &amp; 2'!$C$8</definedName>
    <definedName name="sses_m_g2">'[1]I. Tables 1 &amp; 2'!$I$8</definedName>
    <definedName name="sses_m_g3">'[1]I. Tables 1 &amp; 2'!$O$8</definedName>
    <definedName name="sses_m_g4">'[1]I. Tables 1 &amp; 2'!$U$8</definedName>
    <definedName name="sses_m_g5">'[1]I. Tables 1 &amp; 2'!$AA$8</definedName>
    <definedName name="sses_m_g6">'[1]I. Tables 1 &amp; 2'!$AG$8</definedName>
    <definedName name="sso_classification_adl">'[1]VIII. Box 1'!$G$8</definedName>
    <definedName name="sso_classification_non_adl">'[1]VIII. Box 1'!$G$10</definedName>
    <definedName name="sso_issue_active_case_adverse_claim_yes">'[1]VIII. Box 1 (cont.)'!$M$37</definedName>
    <definedName name="sso_issue_active_case_encroachment_yes">'[1]VIII. Box 1 (cont.)'!$M$38</definedName>
    <definedName name="sso_issue_active_case_illegal_unauth_yes">'[1]VIII. Box 1 (cont.)'!$M$42</definedName>
    <definedName name="sso_issue_active_case_informal_settler_yes">'[1]VIII. Box 1 (cont.)'!$M$40</definedName>
    <definedName name="sso_issue_active_case_overlapping_title_yes">'[1]VIII. Box 1 (cont.)'!$M$41</definedName>
    <definedName name="sso_issue_active_case_verbal_claim_yes">'[1]VIII. Box 1 (cont.)'!$M$39</definedName>
    <definedName name="sso_issue_endorse_sdo_adverse_claim_yes">'[1]VIII. Box 1 (cont.)'!$S$37</definedName>
    <definedName name="sso_issue_endorse_sdo_encroachment_yes">'[1]VIII. Box 1 (cont.)'!$S$38</definedName>
    <definedName name="sso_issue_endorse_sdo_illegal_unauth_yes">'[1]VIII. Box 1 (cont.)'!$S$42</definedName>
    <definedName name="sso_issue_endorse_sdo_informal_settler_yes">'[1]VIII. Box 1 (cont.)'!$S$40</definedName>
    <definedName name="sso_issue_endorse_sdo_overlapping_title_yes">'[1]VIII. Box 1 (cont.)'!$S$41</definedName>
    <definedName name="sso_issue_endorse_sdo_verbal_claim_yes">'[1]VIII. Box 1 (cont.)'!$S$39</definedName>
    <definedName name="sso_issue_filed_osg_adverse_claim_land_area">'[1]VIII. Box 1 (cont.)'!$AK$37</definedName>
    <definedName name="sso_issue_filed_osg_adverse_claim_remarks">'[1]VIII. Box 1 (cont.)'!$AR$37</definedName>
    <definedName name="sso_issue_filed_osg_adverse_claim_year_transm_osg">'[1]VIII. Box 1 (cont.)'!$AE$37</definedName>
    <definedName name="sso_issue_filed_osg_adverse_claim_yes">'[1]VIII. Box 1 (cont.)'!$Y$37</definedName>
    <definedName name="sso_issue_filed_osg_encroachment_land_area">'[1]VIII. Box 1 (cont.)'!$AK$38</definedName>
    <definedName name="sso_issue_filed_osg_encroachment_remarks">'[1]VIII. Box 1 (cont.)'!$AR$38</definedName>
    <definedName name="sso_issue_filed_osg_encroachment_year_transm_osg">'[1]VIII. Box 1 (cont.)'!$AE$38</definedName>
    <definedName name="sso_issue_filed_osg_encroachment_yes">'[1]VIII. Box 1 (cont.)'!$Y$38</definedName>
    <definedName name="sso_issue_filed_osg_illegal_unauth_land_area">'[1]VIII. Box 1 (cont.)'!$AK$42</definedName>
    <definedName name="sso_issue_filed_osg_illegal_unauth_remarks">'[1]VIII. Box 1 (cont.)'!$AR$42</definedName>
    <definedName name="sso_issue_filed_osg_illegal_unauth_year_transm_osg">'[1]VIII. Box 1 (cont.)'!$AE$42</definedName>
    <definedName name="sso_issue_filed_osg_illegal_unauth_yes">'[1]VIII. Box 1 (cont.)'!$Y$42</definedName>
    <definedName name="sso_issue_filed_osg_informal_settler_land_area">'[1]VIII. Box 1 (cont.)'!$AK$40</definedName>
    <definedName name="sso_issue_filed_osg_informal_settler_remarks">'[1]VIII. Box 1 (cont.)'!$AR$40</definedName>
    <definedName name="sso_issue_filed_osg_informal_settler_year_transm_osg">'[1]VIII. Box 1 (cont.)'!$AE$40</definedName>
    <definedName name="sso_issue_filed_osg_informal_settler_yes">'[1]VIII. Box 1 (cont.)'!$Y$40</definedName>
    <definedName name="sso_issue_filed_osg_overlapping_title_land_area">'[1]VIII. Box 1 (cont.)'!$AK$41</definedName>
    <definedName name="sso_issue_filed_osg_overlapping_title_remarks">'[1]VIII. Box 1 (cont.)'!$AR$41</definedName>
    <definedName name="sso_issue_filed_osg_overlapping_title_year_transm_osg">'[1]VIII. Box 1 (cont.)'!$AE$41</definedName>
    <definedName name="sso_issue_filed_osg_overlapping_title_yes">'[1]VIII. Box 1 (cont.)'!$Y$41</definedName>
    <definedName name="sso_issue_filed_osg_verbal_claim_land_area">'[1]VIII. Box 1 (cont.)'!$AK$39</definedName>
    <definedName name="sso_issue_filed_osg_verbal_claim_remarks">'[1]VIII. Box 1 (cont.)'!$AR$39</definedName>
    <definedName name="sso_issue_filed_osg_verbal_claim_year_transm_osg">'[1]VIII. Box 1 (cont.)'!$AE$39</definedName>
    <definedName name="sso_issue_filed_osg_verbal_claim_yes">'[1]VIII. Box 1 (cont.)'!$Y$39</definedName>
    <definedName name="sso_legal_doc_available_cert_true_copy">'[1]VIII. Box 1'!$G$19</definedName>
    <definedName name="sso_legal_doc_available_inventory_record">'[1]VIII. Box 1'!$G$23</definedName>
    <definedName name="sso_legal_doc_available_scan_photo_copy">'[1]VIII. Box 1'!$G$21</definedName>
    <definedName name="sso_ownership_status_deped_nottitled_cert_steward_dca">'[1]VIII. Box 1'!$BW$46</definedName>
    <definedName name="sso_ownership_status_deped_nottitled_cert_steward_land_area">'[1]VIII. Box 1'!$BM$46</definedName>
    <definedName name="sso_ownership_status_deped_nottitled_cert_steward_lot_number">'[1]VIII. Box 1'!$BC$46</definedName>
    <definedName name="sso_ownership_status_deped_nottitled_cert_steward_num_lots">'[1]VIII. Box 1'!$AX$46</definedName>
    <definedName name="sso_ownership_status_deped_nottitled_cert_steward_title_reg_num">'[1]VIII. Box 1'!$BH$46</definedName>
    <definedName name="sso_ownership_status_deped_nottitled_cert_steward_year_exec">'[1]VIII. Box 1'!$BR$46</definedName>
    <definedName name="sso_ownership_status_deped_nottitled_cert_steward_yes">'[1]VIII. Box 1'!$AT$46</definedName>
    <definedName name="sso_ownership_status_deped_nottitled_denrti_dca">'[1]VIII. Box 1'!$BW$44</definedName>
    <definedName name="sso_ownership_status_deped_nottitled_denrti_land_area">'[1]VIII. Box 1'!$BM$44</definedName>
    <definedName name="sso_ownership_status_deped_nottitled_denrti_lot_number">'[1]VIII. Box 1'!$BC$44</definedName>
    <definedName name="sso_ownership_status_deped_nottitled_denrti_num_lots">'[1]VIII. Box 1'!$AX$44</definedName>
    <definedName name="sso_ownership_status_deped_nottitled_denrti_title_reg_num">'[1]VIII. Box 1'!$BH$44</definedName>
    <definedName name="sso_ownership_status_deped_nottitled_denrti_year_exec">'[1]VIII. Box 1'!$BR$44</definedName>
    <definedName name="sso_ownership_status_deped_nottitled_denrti_yes">'[1]VIII. Box 1'!$AT$44</definedName>
    <definedName name="sso_ownership_status_deped_nottitled_dod_dca">'[1]VIII. Box 1'!$BW$41</definedName>
    <definedName name="sso_ownership_status_deped_nottitled_dod_land_area">'[1]VIII. Box 1'!$BM$41</definedName>
    <definedName name="sso_ownership_status_deped_nottitled_dod_lot_number">'[1]VIII. Box 1'!$BC$41</definedName>
    <definedName name="sso_ownership_status_deped_nottitled_dod_num_lots">'[1]VIII. Box 1'!$AX$41</definedName>
    <definedName name="sso_ownership_status_deped_nottitled_dod_title_reg_num">'[1]VIII. Box 1'!$BH$41</definedName>
    <definedName name="sso_ownership_status_deped_nottitled_dod_year_exec">'[1]VIII. Box 1'!$BR$41</definedName>
    <definedName name="sso_ownership_status_deped_nottitled_dod_yes">'[1]VIII. Box 1'!$AT$41</definedName>
    <definedName name="sso_ownership_status_deped_nottitled_dos_dca">'[1]VIII. Box 1'!$BW$42</definedName>
    <definedName name="sso_ownership_status_deped_nottitled_dos_land_area">'[1]VIII. Box 1'!$BM$42</definedName>
    <definedName name="sso_ownership_status_deped_nottitled_dos_lot_number">'[1]VIII. Box 1'!$BC$42</definedName>
    <definedName name="sso_ownership_status_deped_nottitled_dos_num_lots">'[1]VIII. Box 1'!$AX$42</definedName>
    <definedName name="sso_ownership_status_deped_nottitled_dos_title_reg_num">'[1]VIII. Box 1'!$BH$42</definedName>
    <definedName name="sso_ownership_status_deped_nottitled_dos_year_exec">'[1]VIII. Box 1'!$BR$42</definedName>
    <definedName name="sso_ownership_status_deped_nottitled_dos_yes">'[1]VIII. Box 1'!$AT$42</definedName>
    <definedName name="sso_ownership_status_deped_nottitled_doumoa_dca">'[1]VIII. Box 1'!$BW$45</definedName>
    <definedName name="sso_ownership_status_deped_nottitled_doumoa_land_area">'[1]VIII. Box 1'!$BM$45</definedName>
    <definedName name="sso_ownership_status_deped_nottitled_doumoa_lot_number">'[1]VIII. Box 1'!$BC$45</definedName>
    <definedName name="sso_ownership_status_deped_nottitled_doumoa_num_lots">'[1]VIII. Box 1'!$AX$45</definedName>
    <definedName name="sso_ownership_status_deped_nottitled_doumoa_title_reg_num">'[1]VIII. Box 1'!$BH$45</definedName>
    <definedName name="sso_ownership_status_deped_nottitled_doumoa_year_exec">'[1]VIII. Box 1'!$BR$45</definedName>
    <definedName name="sso_ownership_status_deped_nottitled_doumoa_yes">'[1]VIII. Box 1'!$AT$45</definedName>
    <definedName name="sso_ownership_status_deped_nottitled_pp_reserver_dca">'[1]VIII. Box 1'!$BW$40</definedName>
    <definedName name="sso_ownership_status_deped_nottitled_pp_reserver_land_area">'[1]VIII. Box 1'!$BM$40</definedName>
    <definedName name="sso_ownership_status_deped_nottitled_pp_reserver_lot_number">'[1]VIII. Box 1'!$BC$40</definedName>
    <definedName name="sso_ownership_status_deped_nottitled_pp_reserver_num_lots">'[1]VIII. Box 1'!$AX$40</definedName>
    <definedName name="sso_ownership_status_deped_nottitled_pp_reserver_title_reg_num">'[1]VIII. Box 1'!$BH$40</definedName>
    <definedName name="sso_ownership_status_deped_nottitled_pp_reserver_year_exec">'[1]VIII. Box 1'!$BR$40</definedName>
    <definedName name="sso_ownership_status_deped_nottitled_pp_reserver_yes">'[1]VIII. Box 1'!$AT$40</definedName>
    <definedName name="sso_ownership_status_deped_nottitled_sp_ro_dca">'[1]VIII. Box 1'!$BW$39</definedName>
    <definedName name="sso_ownership_status_deped_nottitled_sp_ro_land_area">'[1]VIII. Box 1'!$BM$39</definedName>
    <definedName name="sso_ownership_status_deped_nottitled_sp_ro_lot_number">'[1]VIII. Box 1'!$BC$39</definedName>
    <definedName name="sso_ownership_status_deped_nottitled_sp_ro_num_lots">'[1]VIII. Box 1'!$AX$39</definedName>
    <definedName name="sso_ownership_status_deped_nottitled_sp_ro_title_reg_num">'[1]VIII. Box 1'!$BH$39</definedName>
    <definedName name="sso_ownership_status_deped_nottitled_sp_ro_year_exec">'[1]VIII. Box 1'!$BR$39</definedName>
    <definedName name="sso_ownership_status_deped_nottitled_sp_ro_yes">'[1]VIII. Box 1'!$AT$39</definedName>
    <definedName name="sso_ownership_status_deped_nottitled_td_dca">'[1]VIII. Box 1'!$BW$43</definedName>
    <definedName name="sso_ownership_status_deped_nottitled_td_land_area">'[1]VIII. Box 1'!$BM$43</definedName>
    <definedName name="sso_ownership_status_deped_nottitled_td_lot_number">'[1]VIII. Box 1'!$BC$43</definedName>
    <definedName name="sso_ownership_status_deped_nottitled_td_num_lots">'[1]VIII. Box 1'!$AX$43</definedName>
    <definedName name="sso_ownership_status_deped_nottitled_td_title_reg_num">'[1]VIII. Box 1'!$BH$43</definedName>
    <definedName name="sso_ownership_status_deped_nottitled_td_year_exec">'[1]VIII. Box 1'!$BR$43</definedName>
    <definedName name="sso_ownership_status_deped_nottitled_td_yes">'[1]VIII. Box 1'!$AT$43</definedName>
    <definedName name="sso_ownership_status_deped_titled_oct_dca">'[1]VIII. Box 1'!$BW$36</definedName>
    <definedName name="sso_ownership_status_deped_titled_oct_land_area">'[1]VIII. Box 1'!$BM$36</definedName>
    <definedName name="sso_ownership_status_deped_titled_oct_lot_number">'[1]VIII. Box 1'!$BC$36</definedName>
    <definedName name="sso_ownership_status_deped_titled_oct_num_lots">'[1]VIII. Box 1'!$AX$36</definedName>
    <definedName name="sso_ownership_status_deped_titled_oct_title_reg_num">'[1]VIII. Box 1'!$BH$36</definedName>
    <definedName name="sso_ownership_status_deped_titled_oct_year_exec">'[1]VIII. Box 1'!$BR$36</definedName>
    <definedName name="sso_ownership_status_deped_titled_oct_yes">'[1]VIII. Box 1'!$AT$36</definedName>
    <definedName name="sso_ownership_status_deped_titled_octsp_dca">'[1]VIII. Box 1'!$BW$38</definedName>
    <definedName name="sso_ownership_status_deped_titled_octsp_land_area">'[1]VIII. Box 1'!$BM$38</definedName>
    <definedName name="sso_ownership_status_deped_titled_octsp_lot_number">'[1]VIII. Box 1'!$BC$38</definedName>
    <definedName name="sso_ownership_status_deped_titled_octsp_num_lots">'[1]VIII. Box 1'!$AX$38</definedName>
    <definedName name="sso_ownership_status_deped_titled_octsp_title_reg_num">'[1]VIII. Box 1'!$BH$38</definedName>
    <definedName name="sso_ownership_status_deped_titled_octsp_year_exec">'[1]VIII. Box 1'!$BR$38</definedName>
    <definedName name="sso_ownership_status_deped_titled_octsp_yes">'[1]VIII. Box 1'!$AT$38</definedName>
    <definedName name="sso_ownership_status_deped_titled_tct_dca">'[1]VIII. Box 1'!$BW$37</definedName>
    <definedName name="sso_ownership_status_deped_titled_tct_land_area">'[1]VIII. Box 1'!$BM$37</definedName>
    <definedName name="sso_ownership_status_deped_titled_tct_lot_number">'[1]VIII. Box 1'!$BC$37</definedName>
    <definedName name="sso_ownership_status_deped_titled_tct_num_lots">'[1]VIII. Box 1'!$AX$37</definedName>
    <definedName name="sso_ownership_status_deped_titled_tct_title_reg_num">'[1]VIII. Box 1'!$BH$37</definedName>
    <definedName name="sso_ownership_status_deped_titled_tct_year_exec">'[1]VIII. Box 1'!$BR$37</definedName>
    <definedName name="sso_ownership_status_deped_titled_tct_yes">'[1]VIII. Box 1'!$AT$37</definedName>
    <definedName name="sso_ownership_status_ip_titled_calt_dca">'[1]VIII. Box 1 (cont.)'!$BW$24</definedName>
    <definedName name="sso_ownership_status_ip_titled_calt_land_area">'[1]VIII. Box 1 (cont.)'!$BM$24</definedName>
    <definedName name="sso_ownership_status_ip_titled_calt_lot_number">'[1]VIII. Box 1 (cont.)'!$BC$24</definedName>
    <definedName name="sso_ownership_status_ip_titled_calt_num_lots">'[1]VIII. Box 1 (cont.)'!$AX$24</definedName>
    <definedName name="sso_ownership_status_ip_titled_calt_title_reg_num">'[1]VIII. Box 1 (cont.)'!$BH$24</definedName>
    <definedName name="sso_ownership_status_ip_titled_calt_year_exec">'[1]VIII. Box 1 (cont.)'!$BR$24</definedName>
    <definedName name="sso_ownership_status_ip_titled_calt_yes">'[1]VIII. Box 1 (cont.)'!$AT$24</definedName>
    <definedName name="sso_ownership_status_lgu_nottitled_dod_dca">'[1]VIII. Box 1'!$BW$49</definedName>
    <definedName name="sso_ownership_status_lgu_nottitled_dod_land_area">'[1]VIII. Box 1'!$BM$49</definedName>
    <definedName name="sso_ownership_status_lgu_nottitled_dod_lot_number">'[1]VIII. Box 1'!$BC$49</definedName>
    <definedName name="sso_ownership_status_lgu_nottitled_dod_num_lots">'[1]VIII. Box 1'!$AX$49</definedName>
    <definedName name="sso_ownership_status_lgu_nottitled_dod_title_reg_num">'[1]VIII. Box 1'!$BH$49</definedName>
    <definedName name="sso_ownership_status_lgu_nottitled_dod_year_exec">'[1]VIII. Box 1'!$BR$49</definedName>
    <definedName name="sso_ownership_status_lgu_nottitled_dod_yes">'[1]VIII. Box 1'!$AT$49</definedName>
    <definedName name="sso_ownership_status_lgu_nottitled_dos_dca">'[1]VIII. Box 1'!$BW$50</definedName>
    <definedName name="sso_ownership_status_lgu_nottitled_dos_land_area">'[1]VIII. Box 1'!$BM$50</definedName>
    <definedName name="sso_ownership_status_lgu_nottitled_dos_lot_number">'[1]VIII. Box 1'!$BC$50</definedName>
    <definedName name="sso_ownership_status_lgu_nottitled_dos_num_lots">'[1]VIII. Box 1'!$AX$50</definedName>
    <definedName name="sso_ownership_status_lgu_nottitled_dos_title_reg_num">'[1]VIII. Box 1'!$BH$50</definedName>
    <definedName name="sso_ownership_status_lgu_nottitled_dos_year_exec">'[1]VIII. Box 1'!$BR$50</definedName>
    <definedName name="sso_ownership_status_lgu_nottitled_dos_yes">'[1]VIII. Box 1'!$AT$50</definedName>
    <definedName name="sso_ownership_status_lgu_nottitled_doumoa_dca">'[1]VIII. Box 1'!$BW$52</definedName>
    <definedName name="sso_ownership_status_lgu_nottitled_doumoa_land_area">'[1]VIII. Box 1'!$BM$52</definedName>
    <definedName name="sso_ownership_status_lgu_nottitled_doumoa_lot_number">'[1]VIII. Box 1'!$BC$52</definedName>
    <definedName name="sso_ownership_status_lgu_nottitled_doumoa_num_lots">'[1]VIII. Box 1'!$AX$52</definedName>
    <definedName name="sso_ownership_status_lgu_nottitled_doumoa_title_reg_num">'[1]VIII. Box 1'!$BH$52</definedName>
    <definedName name="sso_ownership_status_lgu_nottitled_doumoa_year_exec">'[1]VIII. Box 1'!$BR$52</definedName>
    <definedName name="sso_ownership_status_lgu_nottitled_doumoa_yes">'[1]VIII. Box 1'!$AT$52</definedName>
    <definedName name="sso_ownership_status_lgu_nottitled_td_dca">'[1]VIII. Box 1'!$BW$51</definedName>
    <definedName name="sso_ownership_status_lgu_nottitled_td_land_area">'[1]VIII. Box 1'!$BM$51</definedName>
    <definedName name="sso_ownership_status_lgu_nottitled_td_lot_number">'[1]VIII. Box 1'!$BC$51</definedName>
    <definedName name="sso_ownership_status_lgu_nottitled_td_num_lots">'[1]VIII. Box 1'!$AX$51</definedName>
    <definedName name="sso_ownership_status_lgu_nottitled_td_title_reg_num">'[1]VIII. Box 1'!$BH$51</definedName>
    <definedName name="sso_ownership_status_lgu_nottitled_td_year_exec">'[1]VIII. Box 1'!$BR$51</definedName>
    <definedName name="sso_ownership_status_lgu_nottitled_td_yes">'[1]VIII. Box 1'!$AT$51</definedName>
    <definedName name="sso_ownership_status_lgu_titled_oct_dca">'[1]VIII. Box 1'!$BW$47</definedName>
    <definedName name="sso_ownership_status_lgu_titled_oct_land_area">'[1]VIII. Box 1'!$BM$47</definedName>
    <definedName name="sso_ownership_status_lgu_titled_oct_lot_number">'[1]VIII. Box 1'!$BC$47</definedName>
    <definedName name="sso_ownership_status_lgu_titled_oct_num_lots">'[1]VIII. Box 1'!$AX$47</definedName>
    <definedName name="sso_ownership_status_lgu_titled_oct_title_reg_num">'[1]VIII. Box 1'!$BH$47</definedName>
    <definedName name="sso_ownership_status_lgu_titled_oct_year_exec">'[1]VIII. Box 1'!$BR$47</definedName>
    <definedName name="sso_ownership_status_lgu_titled_oct_yes">'[1]VIII. Box 1'!$AT$47</definedName>
    <definedName name="sso_ownership_status_lgu_titled_tct_dca">'[1]VIII. Box 1'!$BW$48</definedName>
    <definedName name="sso_ownership_status_lgu_titled_tct_land_area">'[1]VIII. Box 1'!$BM$48</definedName>
    <definedName name="sso_ownership_status_lgu_titled_tct_lot_number">'[1]VIII. Box 1'!$BC$48</definedName>
    <definedName name="sso_ownership_status_lgu_titled_tct_num_lots">'[1]VIII. Box 1'!$AX$48</definedName>
    <definedName name="sso_ownership_status_lgu_titled_tct_title_reg_num">'[1]VIII. Box 1'!$BH$48</definedName>
    <definedName name="sso_ownership_status_lgu_titled_tct_year_exec">'[1]VIII. Box 1'!$BR$48</definedName>
    <definedName name="sso_ownership_status_lgu_titled_tct_yes">'[1]VIII. Box 1'!$AT$48</definedName>
    <definedName name="sso_ownership_status_nga_nottitled_dod_dca">'[1]VIII. Box 1 (cont.)'!$BW$20</definedName>
    <definedName name="sso_ownership_status_nga_nottitled_dod_land_area">'[1]VIII. Box 1 (cont.)'!$BM$20</definedName>
    <definedName name="sso_ownership_status_nga_nottitled_dod_lot_number">'[1]VIII. Box 1 (cont.)'!$BC$20</definedName>
    <definedName name="sso_ownership_status_nga_nottitled_dod_num_lots">'[1]VIII. Box 1 (cont.)'!$AX$20</definedName>
    <definedName name="sso_ownership_status_nga_nottitled_dod_title_reg_num">'[1]VIII. Box 1 (cont.)'!$BH$20</definedName>
    <definedName name="sso_ownership_status_nga_nottitled_dod_year_exec">'[1]VIII. Box 1 (cont.)'!$BR$20</definedName>
    <definedName name="sso_ownership_status_nga_nottitled_dod_yes">'[1]VIII. Box 1 (cont.)'!$AT$20</definedName>
    <definedName name="sso_ownership_status_nga_nottitled_dos_dca">'[1]VIII. Box 1 (cont.)'!$BW$21</definedName>
    <definedName name="sso_ownership_status_nga_nottitled_dos_land_area">'[1]VIII. Box 1 (cont.)'!$BM$21</definedName>
    <definedName name="sso_ownership_status_nga_nottitled_dos_lot_number">'[1]VIII. Box 1 (cont.)'!$BC$21</definedName>
    <definedName name="sso_ownership_status_nga_nottitled_dos_num_lots">'[1]VIII. Box 1 (cont.)'!$AX$21</definedName>
    <definedName name="sso_ownership_status_nga_nottitled_dos_title_reg_num">'[1]VIII. Box 1 (cont.)'!$BH$21</definedName>
    <definedName name="sso_ownership_status_nga_nottitled_dos_year_exec">'[1]VIII. Box 1 (cont.)'!$BR$21</definedName>
    <definedName name="sso_ownership_status_nga_nottitled_dos_yes">'[1]VIII. Box 1 (cont.)'!$AT$21</definedName>
    <definedName name="sso_ownership_status_nga_nottitled_doumoa_dca">'[1]VIII. Box 1 (cont.)'!$BW$23</definedName>
    <definedName name="sso_ownership_status_nga_nottitled_doumoa_land_area">'[1]VIII. Box 1 (cont.)'!$BM$23</definedName>
    <definedName name="sso_ownership_status_nga_nottitled_doumoa_lot_number">'[1]VIII. Box 1 (cont.)'!$BC$23</definedName>
    <definedName name="sso_ownership_status_nga_nottitled_doumoa_num_lots">'[1]VIII. Box 1 (cont.)'!$AX$23</definedName>
    <definedName name="sso_ownership_status_nga_nottitled_doumoa_title_reg_num">'[1]VIII. Box 1 (cont.)'!$BH$23</definedName>
    <definedName name="sso_ownership_status_nga_nottitled_doumoa_year_exec">'[1]VIII. Box 1 (cont.)'!$BR$23</definedName>
    <definedName name="sso_ownership_status_nga_nottitled_doumoa_yes">'[1]VIII. Box 1 (cont.)'!$AT$23</definedName>
    <definedName name="sso_ownership_status_nga_nottitled_td_dca">'[1]VIII. Box 1 (cont.)'!$BW$22</definedName>
    <definedName name="sso_ownership_status_nga_nottitled_td_land_area">'[1]VIII. Box 1 (cont.)'!$BM$22</definedName>
    <definedName name="sso_ownership_status_nga_nottitled_td_lot_number">'[1]VIII. Box 1 (cont.)'!$BC$22</definedName>
    <definedName name="sso_ownership_status_nga_nottitled_td_num_lots">'[1]VIII. Box 1 (cont.)'!$AX$22</definedName>
    <definedName name="sso_ownership_status_nga_nottitled_td_title_reg_num">'[1]VIII. Box 1 (cont.)'!$BH$22</definedName>
    <definedName name="sso_ownership_status_nga_nottitled_td_year_exec">'[1]VIII. Box 1 (cont.)'!$BR$22</definedName>
    <definedName name="sso_ownership_status_nga_nottitled_td_yes">'[1]VIII. Box 1 (cont.)'!$AT$22</definedName>
    <definedName name="sso_ownership_status_nga_titled_oct_dca">'[1]VIII. Box 1 (cont.)'!$BW$18</definedName>
    <definedName name="sso_ownership_status_nga_titled_oct_land_area">'[1]VIII. Box 1 (cont.)'!$BM$18</definedName>
    <definedName name="sso_ownership_status_nga_titled_oct_lot_number">'[1]VIII. Box 1 (cont.)'!$BC$18</definedName>
    <definedName name="sso_ownership_status_nga_titled_oct_num_lots">'[1]VIII. Box 1 (cont.)'!$AX$18</definedName>
    <definedName name="sso_ownership_status_nga_titled_oct_title_reg_num">'[1]VIII. Box 1 (cont.)'!$BH$18</definedName>
    <definedName name="sso_ownership_status_nga_titled_oct_year_exec">'[1]VIII. Box 1 (cont.)'!$BR$18</definedName>
    <definedName name="sso_ownership_status_nga_titled_oct_yes">'[1]VIII. Box 1 (cont.)'!$AT$18</definedName>
    <definedName name="sso_ownership_status_nga_titled_tct_dca">'[1]VIII. Box 1 (cont.)'!$BW$19</definedName>
    <definedName name="sso_ownership_status_nga_titled_tct_land_area">'[1]VIII. Box 1 (cont.)'!$BM$19</definedName>
    <definedName name="sso_ownership_status_nga_titled_tct_lot_number">'[1]VIII. Box 1 (cont.)'!$BC$19</definedName>
    <definedName name="sso_ownership_status_nga_titled_tct_num_lots">'[1]VIII. Box 1 (cont.)'!$AX$19</definedName>
    <definedName name="sso_ownership_status_nga_titled_tct_title_reg_num">'[1]VIII. Box 1 (cont.)'!$BH$19</definedName>
    <definedName name="sso_ownership_status_nga_titled_tct_year_exec">'[1]VIII. Box 1 (cont.)'!$BR$19</definedName>
    <definedName name="sso_ownership_status_nga_titled_tct_yes">'[1]VIII. Box 1 (cont.)'!$AT$19</definedName>
    <definedName name="sso_ownership_status_no_ownership_yes">'[1]VIII. Box 1 (cont.)'!$AT$28</definedName>
    <definedName name="sso_ownership_status_private_nottitled_cloa_dca">'[1]VIII. Box 1 (cont.)'!$BW$17</definedName>
    <definedName name="sso_ownership_status_private_nottitled_cloa_land_area">'[1]VIII. Box 1 (cont.)'!$BM$17</definedName>
    <definedName name="sso_ownership_status_private_nottitled_cloa_lot_number">'[1]VIII. Box 1 (cont.)'!$BC$17</definedName>
    <definedName name="sso_ownership_status_private_nottitled_cloa_num_lots">'[1]VIII. Box 1 (cont.)'!$AX$17</definedName>
    <definedName name="sso_ownership_status_private_nottitled_cloa_title_reg_num">'[1]VIII. Box 1 (cont.)'!$BH$17</definedName>
    <definedName name="sso_ownership_status_private_nottitled_cloa_year_exec">'[1]VIII. Box 1 (cont.)'!$BR$17</definedName>
    <definedName name="sso_ownership_status_private_nottitled_cloa_yes">'[1]VIII. Box 1 (cont.)'!$AT$17</definedName>
    <definedName name="sso_ownership_status_private_nottitled_dod_dca">'[1]VIII. Box 1 (cont.)'!$BW$14</definedName>
    <definedName name="sso_ownership_status_private_nottitled_dod_land_area">'[1]VIII. Box 1 (cont.)'!$BM$14</definedName>
    <definedName name="sso_ownership_status_private_nottitled_dod_lot_number">'[1]VIII. Box 1 (cont.)'!$BC$14</definedName>
    <definedName name="sso_ownership_status_private_nottitled_dod_num_lots">'[1]VIII. Box 1 (cont.)'!$AX$14</definedName>
    <definedName name="sso_ownership_status_private_nottitled_dod_title_reg_num">'[1]VIII. Box 1 (cont.)'!$BH$14</definedName>
    <definedName name="sso_ownership_status_private_nottitled_dod_year_exec">'[1]VIII. Box 1 (cont.)'!$BR$14</definedName>
    <definedName name="sso_ownership_status_private_nottitled_dod_yes">'[1]VIII. Box 1 (cont.)'!$AT$14</definedName>
    <definedName name="sso_ownership_status_private_nottitled_dos_dca">'[1]VIII. Box 1 (cont.)'!$BW$15</definedName>
    <definedName name="sso_ownership_status_private_nottitled_dos_land_area">'[1]VIII. Box 1 (cont.)'!$BM$15</definedName>
    <definedName name="sso_ownership_status_private_nottitled_dos_lot_number">'[1]VIII. Box 1 (cont.)'!$BC$15</definedName>
    <definedName name="sso_ownership_status_private_nottitled_dos_num_lots">'[1]VIII. Box 1 (cont.)'!$AX$15</definedName>
    <definedName name="sso_ownership_status_private_nottitled_dos_title_reg_num">'[1]VIII. Box 1 (cont.)'!$BH$15</definedName>
    <definedName name="sso_ownership_status_private_nottitled_dos_year_exec">'[1]VIII. Box 1 (cont.)'!$BR$15</definedName>
    <definedName name="sso_ownership_status_private_nottitled_dos_yes">'[1]VIII. Box 1 (cont.)'!$AT$15</definedName>
    <definedName name="sso_ownership_status_private_nottitled_td_dca">'[1]VIII. Box 1 (cont.)'!$BW$16</definedName>
    <definedName name="sso_ownership_status_private_nottitled_td_land_area">'[1]VIII. Box 1 (cont.)'!$BM$16</definedName>
    <definedName name="sso_ownership_status_private_nottitled_td_lot_number">'[1]VIII. Box 1 (cont.)'!$BC$16</definedName>
    <definedName name="sso_ownership_status_private_nottitled_td_num_lots">'[1]VIII. Box 1 (cont.)'!$AX$16</definedName>
    <definedName name="sso_ownership_status_private_nottitled_td_title_reg_num">'[1]VIII. Box 1 (cont.)'!$BH$16</definedName>
    <definedName name="sso_ownership_status_private_nottitled_td_year_exec">'[1]VIII. Box 1 (cont.)'!$BR$16</definedName>
    <definedName name="sso_ownership_status_private_nottitled_td_yes">'[1]VIII. Box 1 (cont.)'!$AT$16</definedName>
    <definedName name="sso_ownership_status_private_titled_oct_dca">'[1]VIII. Box 1 (cont.)'!$BW$12</definedName>
    <definedName name="sso_ownership_status_private_titled_oct_land_area">'[1]VIII. Box 1 (cont.)'!$BM$12</definedName>
    <definedName name="sso_ownership_status_private_titled_oct_lot_number">'[1]VIII. Box 1 (cont.)'!$BC$12</definedName>
    <definedName name="sso_ownership_status_private_titled_oct_num_lots">'[1]VIII. Box 1 (cont.)'!$AX$12</definedName>
    <definedName name="sso_ownership_status_private_titled_oct_title_reg_num">'[1]VIII. Box 1 (cont.)'!$BH$12</definedName>
    <definedName name="sso_ownership_status_private_titled_oct_year_exec">'[1]VIII. Box 1 (cont.)'!$BR$12</definedName>
    <definedName name="sso_ownership_status_private_titled_oct_yes">'[1]VIII. Box 1 (cont.)'!$AT$12</definedName>
    <definedName name="sso_ownership_status_private_titled_tct_dca">'[1]VIII. Box 1 (cont.)'!$BW$13</definedName>
    <definedName name="sso_ownership_status_private_titled_tct_land_area">'[1]VIII. Box 1 (cont.)'!$BM$13</definedName>
    <definedName name="sso_ownership_status_private_titled_tct_lot_number">'[1]VIII. Box 1 (cont.)'!$BC$13</definedName>
    <definedName name="sso_ownership_status_private_titled_tct_num_lots">'[1]VIII. Box 1 (cont.)'!$AX$13</definedName>
    <definedName name="sso_ownership_status_private_titled_tct_title_reg_num">'[1]VIII. Box 1 (cont.)'!$BH$13</definedName>
    <definedName name="sso_ownership_status_private_titled_tct_year_exec">'[1]VIII. Box 1 (cont.)'!$BR$13</definedName>
    <definedName name="sso_ownership_status_private_titled_tct_yes">'[1]VIII. Box 1 (cont.)'!$AT$13</definedName>
    <definedName name="sso_ownership_status_rp_proof_td_dca">'[1]VIII. Box 1 (cont.)'!$BW$27</definedName>
    <definedName name="sso_ownership_status_rp_proof_td_land_area">'[1]VIII. Box 1 (cont.)'!$BM$27</definedName>
    <definedName name="sso_ownership_status_rp_proof_td_lot_number">'[1]VIII. Box 1 (cont.)'!$BC$27</definedName>
    <definedName name="sso_ownership_status_rp_proof_td_num_lots">'[1]VIII. Box 1 (cont.)'!$AX$27</definedName>
    <definedName name="sso_ownership_status_rp_proof_td_title_reg_num">'[1]VIII. Box 1 (cont.)'!$BH$27</definedName>
    <definedName name="sso_ownership_status_rp_proof_td_year_exec">'[1]VIII. Box 1 (cont.)'!$BR$27</definedName>
    <definedName name="sso_ownership_status_rp_proof_td_yes">'[1]VIII. Box 1 (cont.)'!$AT$27</definedName>
    <definedName name="sso_ownership_status_rp_titled_oct_dca">'[1]VIII. Box 1 (cont.)'!$BW$25</definedName>
    <definedName name="sso_ownership_status_rp_titled_oct_land_area">'[1]VIII. Box 1 (cont.)'!$BM$25</definedName>
    <definedName name="sso_ownership_status_rp_titled_oct_lot_number">'[1]VIII. Box 1 (cont.)'!$BC$25</definedName>
    <definedName name="sso_ownership_status_rp_titled_oct_num_lots">'[1]VIII. Box 1 (cont.)'!$AX$25</definedName>
    <definedName name="sso_ownership_status_rp_titled_oct_title_reg_num">'[1]VIII. Box 1 (cont.)'!$BH$25</definedName>
    <definedName name="sso_ownership_status_rp_titled_oct_year_exec">'[1]VIII. Box 1 (cont.)'!$BR$25</definedName>
    <definedName name="sso_ownership_status_rp_titled_oct_yes">'[1]VIII. Box 1 (cont.)'!$AT$25</definedName>
    <definedName name="sso_ownership_status_rp_titled_tct_dca">'[1]VIII. Box 1 (cont.)'!$BW$26</definedName>
    <definedName name="sso_ownership_status_rp_titled_tct_land_area">'[1]VIII. Box 1 (cont.)'!$BM$26</definedName>
    <definedName name="sso_ownership_status_rp_titled_tct_lot_number">'[1]VIII. Box 1 (cont.)'!$BC$26</definedName>
    <definedName name="sso_ownership_status_rp_titled_tct_num_lots">'[1]VIII. Box 1 (cont.)'!$AX$26</definedName>
    <definedName name="sso_ownership_status_rp_titled_tct_title_reg_num">'[1]VIII. Box 1 (cont.)'!$BH$26</definedName>
    <definedName name="sso_ownership_status_rp_titled_tct_year_exec">'[1]VIII. Box 1 (cont.)'!$BR$26</definedName>
    <definedName name="sso_ownership_status_rp_titled_tct_yes">'[1]VIII. Box 1 (cont.)'!$AT$26</definedName>
    <definedName name="sso_possess_legal_doc_yes">'[1]VIII. Box 1'!$U$13</definedName>
    <definedName name="store_win_100m_frsch_sell_tobacco">'IX. Boxes 5 &amp; 6'!$AS$31</definedName>
    <definedName name="store_win_100m_frsch_sell_vape_ecig">'IX. Boxes 5 &amp; 6'!$AS$32</definedName>
    <definedName name="submission_mov_drivelink">'[1]X. Box 2 (items 5 &amp; 6)'!$D$42</definedName>
    <definedName name="tchr_afa_animalprod_f_g10">'[1]IV. Tables 12 &amp; 13'!$AJ$40</definedName>
    <definedName name="tchr_afa_animalprod_f_g7">'[1]IV. Tables 12 &amp; 13'!$R$40</definedName>
    <definedName name="tchr_afa_animalprod_f_g8">'[1]IV. Tables 12 &amp; 13'!$X$40</definedName>
    <definedName name="tchr_afa_animalprod_f_g9">'[1]IV. Tables 12 &amp; 13'!$AD$40</definedName>
    <definedName name="tchr_afa_animalprod_m_g10">'[1]IV. Tables 12 &amp; 13'!$AG$40</definedName>
    <definedName name="tchr_afa_animalprod_m_g7">'[1]IV. Tables 12 &amp; 13'!$O$40</definedName>
    <definedName name="tchr_afa_animalprod_m_g8">'[1]IV. Tables 12 &amp; 13'!$U$40</definedName>
    <definedName name="tchr_afa_animalprod_m_g9">'[1]IV. Tables 12 &amp; 13'!$AA$40</definedName>
    <definedName name="tchr_afa_aquaculture_f_g10">'[1]IV. Tables 12 &amp; 13'!$AJ$41</definedName>
    <definedName name="tchr_afa_aquaculture_f_g7">'[1]IV. Tables 12 &amp; 13'!$R$41</definedName>
    <definedName name="tchr_afa_aquaculture_f_g8">'[1]IV. Tables 12 &amp; 13'!$X$41</definedName>
    <definedName name="tchr_afa_aquaculture_f_g9">'[1]IV. Tables 12 &amp; 13'!$AD$41</definedName>
    <definedName name="tchr_afa_aquaculture_m_g10">'[1]IV. Tables 12 &amp; 13'!$AG$41</definedName>
    <definedName name="tchr_afa_aquaculture_m_g7">'[1]IV. Tables 12 &amp; 13'!$O$41</definedName>
    <definedName name="tchr_afa_aquaculture_m_g8">'[1]IV. Tables 12 &amp; 13'!$U$41</definedName>
    <definedName name="tchr_afa_aquaculture_m_g9">'[1]IV. Tables 12 &amp; 13'!$AA$41</definedName>
    <definedName name="tchr_afa_crop_prod_f_g10">'[1]IV. Tables 12 &amp; 13'!$AJ$39</definedName>
    <definedName name="tchr_afa_crop_prod_f_g7">'[1]IV. Tables 12 &amp; 13'!$R$39</definedName>
    <definedName name="tchr_afa_crop_prod_f_g8">'[1]IV. Tables 12 &amp; 13'!$X$39</definedName>
    <definedName name="tchr_afa_crop_prod_f_g9">'[1]IV. Tables 12 &amp; 13'!$AD$39</definedName>
    <definedName name="tchr_afa_crop_prod_m_g10">'[1]IV. Tables 12 &amp; 13'!$AG$39</definedName>
    <definedName name="tchr_afa_crop_prod_m_g7">'[1]IV. Tables 12 &amp; 13'!$O$39</definedName>
    <definedName name="tchr_afa_crop_prod_m_g8">'[1]IV. Tables 12 &amp; 13'!$U$39</definedName>
    <definedName name="tchr_afa_crop_prod_m_g9">'[1]IV. Tables 12 &amp; 13'!$AA$39</definedName>
    <definedName name="tchr_afa_fish_capture_f_g10">'[1]IV. Tables 12 &amp; 13'!$AJ$42</definedName>
    <definedName name="tchr_afa_fish_capture_f_g7">'[1]IV. Tables 12 &amp; 13'!$R$42</definedName>
    <definedName name="tchr_afa_fish_capture_f_g8">'[1]IV. Tables 12 &amp; 13'!$X$42</definedName>
    <definedName name="tchr_afa_fish_capture_f_g9">'[1]IV. Tables 12 &amp; 13'!$AD$42</definedName>
    <definedName name="tchr_afa_fish_capture_m_g10">'[1]IV. Tables 12 &amp; 13'!$AG$42</definedName>
    <definedName name="tchr_afa_fish_capture_m_g7">'[1]IV. Tables 12 &amp; 13'!$O$42</definedName>
    <definedName name="tchr_afa_fish_capture_m_g8">'[1]IV. Tables 12 &amp; 13'!$U$42</definedName>
    <definedName name="tchr_afa_fish_capture_m_g9">'[1]IV. Tables 12 &amp; 13'!$AA$42</definedName>
    <definedName name="tchr_afa_food_bev_proc_f_g10">'[1]IV. Tables 12 &amp; 13'!$AJ$43</definedName>
    <definedName name="tchr_afa_food_bev_proc_f_g7">'[1]IV. Tables 12 &amp; 13'!$R$43</definedName>
    <definedName name="tchr_afa_food_bev_proc_f_g8">'[1]IV. Tables 12 &amp; 13'!$X$43</definedName>
    <definedName name="tchr_afa_food_bev_proc_f_g9">'[1]IV. Tables 12 &amp; 13'!$AD$43</definedName>
    <definedName name="tchr_afa_food_bev_proc_m_g10">'[1]IV. Tables 12 &amp; 13'!$AG$43</definedName>
    <definedName name="tchr_afa_food_bev_proc_m_g7">'[1]IV. Tables 12 &amp; 13'!$O$43</definedName>
    <definedName name="tchr_afa_food_bev_proc_m_g8">'[1]IV. Tables 12 &amp; 13'!$U$43</definedName>
    <definedName name="tchr_afa_food_bev_proc_m_g9">'[1]IV. Tables 12 &amp; 13'!$AA$43</definedName>
    <definedName name="tchr_he_beautycare_f_g10">'[1]IV. Tables 12 &amp; 13'!$AJ$34</definedName>
    <definedName name="tchr_he_beautycare_f_g7">'[1]IV. Tables 12 &amp; 13'!$R$34</definedName>
    <definedName name="tchr_he_beautycare_f_g8">'[1]IV. Tables 12 &amp; 13'!$X$34</definedName>
    <definedName name="tchr_he_beautycare_f_g9">'[1]IV. Tables 12 &amp; 13'!$AD$34</definedName>
    <definedName name="tchr_he_beautycare_m_g10">'[1]IV. Tables 12 &amp; 13'!$AG$34</definedName>
    <definedName name="tchr_he_beautycare_m_g7">'[1]IV. Tables 12 &amp; 13'!$O$34</definedName>
    <definedName name="tchr_he_beautycare_m_g8">'[1]IV. Tables 12 &amp; 13'!$U$34</definedName>
    <definedName name="tchr_he_beautycare_m_g9">'[1]IV. Tables 12 &amp; 13'!$AA$34</definedName>
    <definedName name="tchr_he_food_prep_f_g10">'[1]IV. Tables 12 &amp; 13'!$AJ$30</definedName>
    <definedName name="tchr_he_food_prep_f_g7">'[1]IV. Tables 12 &amp; 13'!$R$30</definedName>
    <definedName name="tchr_he_food_prep_f_g8">'[1]IV. Tables 12 &amp; 13'!$X$30</definedName>
    <definedName name="tchr_he_food_prep_f_g9">'[1]IV. Tables 12 &amp; 13'!$AD$30</definedName>
    <definedName name="tchr_he_food_prep_m_g10">'[1]IV. Tables 12 &amp; 13'!$AG$30</definedName>
    <definedName name="tchr_he_food_prep_m_g7">'[1]IV. Tables 12 &amp; 13'!$O$30</definedName>
    <definedName name="tchr_he_food_prep_m_g8">'[1]IV. Tables 12 &amp; 13'!$U$30</definedName>
    <definedName name="tchr_he_food_prep_m_g9">'[1]IV. Tables 12 &amp; 13'!$AA$30</definedName>
    <definedName name="tchr_he_food_services_f_g10">'[1]IV. Tables 12 &amp; 13'!$AJ$33</definedName>
    <definedName name="tchr_he_food_services_f_g7">'[1]IV. Tables 12 &amp; 13'!$R$33</definedName>
    <definedName name="tchr_he_food_services_f_g8">'[1]IV. Tables 12 &amp; 13'!$X$33</definedName>
    <definedName name="tchr_he_food_services_f_g9">'[1]IV. Tables 12 &amp; 13'!$AD$33</definedName>
    <definedName name="tchr_he_food_services_m_g10">'[1]IV. Tables 12 &amp; 13'!$AG$33</definedName>
    <definedName name="tchr_he_food_services_m_g7">'[1]IV. Tables 12 &amp; 13'!$O$33</definedName>
    <definedName name="tchr_he_food_services_m_g8">'[1]IV. Tables 12 &amp; 13'!$U$33</definedName>
    <definedName name="tchr_he_food_services_m_g9">'[1]IV. Tables 12 &amp; 13'!$AA$33</definedName>
    <definedName name="tchr_he_garments_f_g10">'[1]IV. Tables 12 &amp; 13'!$AJ$31</definedName>
    <definedName name="tchr_he_garments_f_g7">'[1]IV. Tables 12 &amp; 13'!$R$31</definedName>
    <definedName name="tchr_he_garments_f_g8">'[1]IV. Tables 12 &amp; 13'!$X$31</definedName>
    <definedName name="tchr_he_garments_f_g9">'[1]IV. Tables 12 &amp; 13'!$AD$31</definedName>
    <definedName name="tchr_he_garments_m_g10">'[1]IV. Tables 12 &amp; 13'!$AG$31</definedName>
    <definedName name="tchr_he_garments_m_g7">'[1]IV. Tables 12 &amp; 13'!$O$31</definedName>
    <definedName name="tchr_he_garments_m_g8">'[1]IV. Tables 12 &amp; 13'!$U$31</definedName>
    <definedName name="tchr_he_garments_m_g9">'[1]IV. Tables 12 &amp; 13'!$AA$31</definedName>
    <definedName name="tchr_he_handicraft_f_g10">'[1]IV. Tables 12 &amp; 13'!$AJ$32</definedName>
    <definedName name="tchr_he_handicraft_f_g7">'[1]IV. Tables 12 &amp; 13'!$R$32</definedName>
    <definedName name="tchr_he_handicraft_f_g8">'[1]IV. Tables 12 &amp; 13'!$X$32</definedName>
    <definedName name="tchr_he_handicraft_f_g9">'[1]IV. Tables 12 &amp; 13'!$AD$32</definedName>
    <definedName name="tchr_he_handicraft_m_g10">'[1]IV. Tables 12 &amp; 13'!$AG$32</definedName>
    <definedName name="tchr_he_handicraft_m_g7">'[1]IV. Tables 12 &amp; 13'!$O$32</definedName>
    <definedName name="tchr_he_handicraft_m_g8">'[1]IV. Tables 12 &amp; 13'!$U$32</definedName>
    <definedName name="tchr_he_handicraft_m_g9">'[1]IV. Tables 12 &amp; 13'!$AA$32</definedName>
    <definedName name="tchr_he_health_welln_f_g10">'[1]IV. Tables 12 &amp; 13'!$AJ$35</definedName>
    <definedName name="tchr_he_health_welln_f_g7">'[1]IV. Tables 12 &amp; 13'!$R$35</definedName>
    <definedName name="tchr_he_health_welln_f_g8">'[1]IV. Tables 12 &amp; 13'!$X$35</definedName>
    <definedName name="tchr_he_health_welln_f_g9">'[1]IV. Tables 12 &amp; 13'!$AD$35</definedName>
    <definedName name="tchr_he_health_welln_m_g10">'[1]IV. Tables 12 &amp; 13'!$AG$35</definedName>
    <definedName name="tchr_he_health_welln_m_g7">'[1]IV. Tables 12 &amp; 13'!$O$35</definedName>
    <definedName name="tchr_he_health_welln_m_g8">'[1]IV. Tables 12 &amp; 13'!$U$35</definedName>
    <definedName name="tchr_he_health_welln_m_g9">'[1]IV. Tables 12 &amp; 13'!$AA$35</definedName>
    <definedName name="tchr_he_hotel_services_f_g10">'[1]IV. Tables 12 &amp; 13'!$AJ$37</definedName>
    <definedName name="tchr_he_hotel_services_f_g7">'[1]IV. Tables 12 &amp; 13'!$R$37</definedName>
    <definedName name="tchr_he_hotel_services_f_g8">'[1]IV. Tables 12 &amp; 13'!$X$37</definedName>
    <definedName name="tchr_he_hotel_services_f_g9">'[1]IV. Tables 12 &amp; 13'!$AD$37</definedName>
    <definedName name="tchr_he_hotel_services_m_g10">'[1]IV. Tables 12 &amp; 13'!$AG$37</definedName>
    <definedName name="tchr_he_hotel_services_m_g7">'[1]IV. Tables 12 &amp; 13'!$O$37</definedName>
    <definedName name="tchr_he_hotel_services_m_g8">'[1]IV. Tables 12 &amp; 13'!$U$37</definedName>
    <definedName name="tchr_he_hotel_services_m_g9">'[1]IV. Tables 12 &amp; 13'!$AA$37</definedName>
    <definedName name="tchr_he_tourism_services_f_g10">'[1]IV. Tables 12 &amp; 13'!$AJ$36</definedName>
    <definedName name="tchr_he_tourism_services_f_g7">'[1]IV. Tables 12 &amp; 13'!$R$36</definedName>
    <definedName name="tchr_he_tourism_services_f_g8">'[1]IV. Tables 12 &amp; 13'!$X$36</definedName>
    <definedName name="tchr_he_tourism_services_f_g9">'[1]IV. Tables 12 &amp; 13'!$AD$36</definedName>
    <definedName name="tchr_he_tourism_services_m_g10">'[1]IV. Tables 12 &amp; 13'!$AG$36</definedName>
    <definedName name="tchr_he_tourism_services_m_g7">'[1]IV. Tables 12 &amp; 13'!$O$36</definedName>
    <definedName name="tchr_he_tourism_services_m_g8">'[1]IV. Tables 12 &amp; 13'!$U$36</definedName>
    <definedName name="tchr_he_tourism_services_m_g9">'[1]IV. Tables 12 &amp; 13'!$AA$36</definedName>
    <definedName name="tchr_ia_auto_sme_f_g10">'[1]IV. Tables 12 &amp; 13'!$AJ$48</definedName>
    <definedName name="tchr_ia_auto_sme_f_g7">'[1]IV. Tables 12 &amp; 13'!$R$48</definedName>
    <definedName name="tchr_ia_auto_sme_f_g8">'[1]IV. Tables 12 &amp; 13'!$X$48</definedName>
    <definedName name="tchr_ia_auto_sme_f_g9">'[1]IV. Tables 12 &amp; 13'!$AD$48</definedName>
    <definedName name="tchr_ia_auto_sme_m_g10">'[1]IV. Tables 12 &amp; 13'!$AG$48</definedName>
    <definedName name="tchr_ia_auto_sme_m_g7">'[1]IV. Tables 12 &amp; 13'!$O$48</definedName>
    <definedName name="tchr_ia_auto_sme_m_g8">'[1]IV. Tables 12 &amp; 13'!$U$48</definedName>
    <definedName name="tchr_ia_auto_sme_m_g9">'[1]IV. Tables 12 &amp; 13'!$AA$48</definedName>
    <definedName name="tchr_ia_carpentry_f_g10">'[1]IV. Tables 12 &amp; 13'!$AJ$47</definedName>
    <definedName name="tchr_ia_carpentry_f_g7">'[1]IV. Tables 12 &amp; 13'!$R$47</definedName>
    <definedName name="tchr_ia_carpentry_f_g8">'[1]IV. Tables 12 &amp; 13'!$X$47</definedName>
    <definedName name="tchr_ia_carpentry_f_g9">'[1]IV. Tables 12 &amp; 13'!$AD$47</definedName>
    <definedName name="tchr_ia_carpentry_m_g10">'[1]IV. Tables 12 &amp; 13'!$AG$47</definedName>
    <definedName name="tchr_ia_carpentry_m_g7">'[1]IV. Tables 12 &amp; 13'!$O$47</definedName>
    <definedName name="tchr_ia_carpentry_m_g8">'[1]IV. Tables 12 &amp; 13'!$U$47</definedName>
    <definedName name="tchr_ia_carpentry_m_g9">'[1]IV. Tables 12 &amp; 13'!$AA$47</definedName>
    <definedName name="tchr_ia_electronics_electrical_eng_f_g10">'[1]IV. Tables 12 &amp; 13'!$AJ$50</definedName>
    <definedName name="tchr_ia_electronics_electrical_eng_f_g7">'[1]IV. Tables 12 &amp; 13'!$R$50</definedName>
    <definedName name="tchr_ia_electronics_electrical_eng_f_g8">'[1]IV. Tables 12 &amp; 13'!$X$50</definedName>
    <definedName name="tchr_ia_electronics_electrical_eng_f_g9">'[1]IV. Tables 12 &amp; 13'!$AD$50</definedName>
    <definedName name="tchr_ia_electronics_electrical_eng_m_g10">'[1]IV. Tables 12 &amp; 13'!$AG$50</definedName>
    <definedName name="tchr_ia_electronics_electrical_eng_m_g7">'[1]IV. Tables 12 &amp; 13'!$O$50</definedName>
    <definedName name="tchr_ia_electronics_electrical_eng_m_g8">'[1]IV. Tables 12 &amp; 13'!$U$50</definedName>
    <definedName name="tchr_ia_electronics_electrical_eng_m_g9">'[1]IV. Tables 12 &amp; 13'!$AA$50</definedName>
    <definedName name="tchr_ia_metals_eng_f_g10">'[1]IV. Tables 12 &amp; 13'!$AJ$49</definedName>
    <definedName name="tchr_ia_metals_eng_f_g7">'[1]IV. Tables 12 &amp; 13'!$R$49</definedName>
    <definedName name="tchr_ia_metals_eng_f_g8">'[1]IV. Tables 12 &amp; 13'!$X$49</definedName>
    <definedName name="tchr_ia_metals_eng_f_g9">'[1]IV. Tables 12 &amp; 13'!$AD$49</definedName>
    <definedName name="tchr_ia_metals_eng_m_g10">'[1]IV. Tables 12 &amp; 13'!$AG$49</definedName>
    <definedName name="tchr_ia_metals_eng_m_g7">'[1]IV. Tables 12 &amp; 13'!$O$49</definedName>
    <definedName name="tchr_ia_metals_eng_m_g8">'[1]IV. Tables 12 &amp; 13'!$U$49</definedName>
    <definedName name="tchr_ia_metals_eng_m_g9">'[1]IV. Tables 12 &amp; 13'!$AA$49</definedName>
    <definedName name="tchr_ia_resi_con_f_g10">'[1]IV. Tables 12 &amp; 13'!$AJ$46</definedName>
    <definedName name="tchr_ia_resi_con_f_g7">'[1]IV. Tables 12 &amp; 13'!$R$46</definedName>
    <definedName name="tchr_ia_resi_con_f_g8">'[1]IV. Tables 12 &amp; 13'!$X$46</definedName>
    <definedName name="tchr_ia_resi_con_f_g9">'[1]IV. Tables 12 &amp; 13'!$AD$46</definedName>
    <definedName name="tchr_ia_resi_con_m_g10">'[1]IV. Tables 12 &amp; 13'!$AG$46</definedName>
    <definedName name="tchr_ia_resi_con_m_g7">'[1]IV. Tables 12 &amp; 13'!$O$46</definedName>
    <definedName name="tchr_ia_resi_con_m_g8">'[1]IV. Tables 12 &amp; 13'!$U$46</definedName>
    <definedName name="tchr_ia_resi_con_m_g9">'[1]IV. Tables 12 &amp; 13'!$AA$46</definedName>
    <definedName name="tchr_ia_resi_plumbing_f_g10">'[1]IV. Tables 12 &amp; 13'!$AJ$45</definedName>
    <definedName name="tchr_ia_resi_plumbing_f_g7">'[1]IV. Tables 12 &amp; 13'!$R$45</definedName>
    <definedName name="tchr_ia_resi_plumbing_f_g8">'[1]IV. Tables 12 &amp; 13'!$X$45</definedName>
    <definedName name="tchr_ia_resi_plumbing_f_g9">'[1]IV. Tables 12 &amp; 13'!$AD$45</definedName>
    <definedName name="tchr_ia_resi_plumbing_m_g10">'[1]IV. Tables 12 &amp; 13'!$AG$45</definedName>
    <definedName name="tchr_ia_resi_plumbing_m_g7">'[1]IV. Tables 12 &amp; 13'!$O$45</definedName>
    <definedName name="tchr_ia_resi_plumbing_m_g8">'[1]IV. Tables 12 &amp; 13'!$U$45</definedName>
    <definedName name="tchr_ia_resi_plumbing_m_g9">'[1]IV. Tables 12 &amp; 13'!$AA$45</definedName>
    <definedName name="tchr_ict_comp_prog_f_g10">'[1]IV. Tables 12 &amp; 13'!$AJ$53</definedName>
    <definedName name="tchr_ict_comp_prog_f_g7">'[1]IV. Tables 12 &amp; 13'!$R$53</definedName>
    <definedName name="tchr_ict_comp_prog_f_g8">'[1]IV. Tables 12 &amp; 13'!$X$53</definedName>
    <definedName name="tchr_ict_comp_prog_f_g9">'[1]IV. Tables 12 &amp; 13'!$AD$53</definedName>
    <definedName name="tchr_ict_comp_prog_m_g10">'[1]IV. Tables 12 &amp; 13'!$AG$53</definedName>
    <definedName name="tchr_ict_comp_prog_m_g7">'[1]IV. Tables 12 &amp; 13'!$O$53</definedName>
    <definedName name="tchr_ict_comp_prog_m_g8">'[1]IV. Tables 12 &amp; 13'!$U$53</definedName>
    <definedName name="tchr_ict_comp_prog_m_g9">'[1]IV. Tables 12 &amp; 13'!$AA$53</definedName>
    <definedName name="tchr_ict_compsystemservicing_f_g10">'[1]IV. Tables 12 &amp; 13'!$AJ$52</definedName>
    <definedName name="tchr_ict_compsystemservicing_f_g7">'[1]IV. Tables 12 &amp; 13'!$R$52</definedName>
    <definedName name="tchr_ict_compsystemservicing_f_g8">'[1]IV. Tables 12 &amp; 13'!$X$52</definedName>
    <definedName name="tchr_ict_compsystemservicing_f_g9">'[1]IV. Tables 12 &amp; 13'!$AD$52</definedName>
    <definedName name="tchr_ict_compsystemservicing_m_g10">'[1]IV. Tables 12 &amp; 13'!$AG$52</definedName>
    <definedName name="tchr_ict_compsystemservicing_m_g7">'[1]IV. Tables 12 &amp; 13'!$O$52</definedName>
    <definedName name="tchr_ict_compsystemservicing_m_g8">'[1]IV. Tables 12 &amp; 13'!$U$52</definedName>
    <definedName name="tchr_ict_compsystemservicing_m_g9">'[1]IV. Tables 12 &amp; 13'!$AA$52</definedName>
    <definedName name="tchr_ict_telecomm_f_g10">'[1]IV. Tables 12 &amp; 13'!$AJ$55</definedName>
    <definedName name="tchr_ict_telecomm_f_g7">'[1]IV. Tables 12 &amp; 13'!$R$55</definedName>
    <definedName name="tchr_ict_telecomm_f_g8">'[1]IV. Tables 12 &amp; 13'!$X$55</definedName>
    <definedName name="tchr_ict_telecomm_f_g9">'[1]IV. Tables 12 &amp; 13'!$AD$55</definedName>
    <definedName name="tchr_ict_telecomm_m_g10">'[1]IV. Tables 12 &amp; 13'!$AG$55</definedName>
    <definedName name="tchr_ict_telecomm_m_g7">'[1]IV. Tables 12 &amp; 13'!$O$55</definedName>
    <definedName name="tchr_ict_telecomm_m_g8">'[1]IV. Tables 12 &amp; 13'!$U$55</definedName>
    <definedName name="tchr_ict_telecomm_m_g9">'[1]IV. Tables 12 &amp; 13'!$AA$55</definedName>
    <definedName name="tchr_ict_visual_arts_f_g10">'[1]IV. Tables 12 &amp; 13'!$AJ$54</definedName>
    <definedName name="tchr_ict_visual_arts_f_g7">'[1]IV. Tables 12 &amp; 13'!$R$54</definedName>
    <definedName name="tchr_ict_visual_arts_f_g8">'[1]IV. Tables 12 &amp; 13'!$X$54</definedName>
    <definedName name="tchr_ict_visual_arts_f_g9">'[1]IV. Tables 12 &amp; 13'!$AD$54</definedName>
    <definedName name="tchr_ict_visual_arts_m_g10">'[1]IV. Tables 12 &amp; 13'!$AG$54</definedName>
    <definedName name="tchr_ict_visual_arts_m_g7">'[1]IV. Tables 12 &amp; 13'!$O$54</definedName>
    <definedName name="tchr_ict_visual_arts_m_g8">'[1]IV. Tables 12 &amp; 13'!$U$54</definedName>
    <definedName name="tchr_ict_visual_arts_m_g9">'[1]IV. Tables 12 &amp; 13'!$AA$54</definedName>
    <definedName name="tchrs_special_artdesign_applied_arts_gr11_f">'[1]IV. Tables 14 &amp; 15'!$AK$18</definedName>
    <definedName name="tchrs_special_artdesign_applied_arts_gr11_m">'[1]IV. Tables 14 &amp; 15'!$AH$18</definedName>
    <definedName name="tchrs_special_artdesign_applied_arts_gr12_f">'[1]IV. Tables 14 &amp; 15'!$AQ$18</definedName>
    <definedName name="tchrs_special_artdesign_applied_arts_gr12_m">'[1]IV. Tables 14 &amp; 15'!$AN$18</definedName>
    <definedName name="tchrs_special_artdesign_creawrite_gr11_f">'[1]IV. Tables 14 &amp; 15'!$AK$15</definedName>
    <definedName name="tchrs_special_artdesign_creawrite_gr11_m">'[1]IV. Tables 14 &amp; 15'!$AH$15</definedName>
    <definedName name="tchrs_special_artdesign_creawrite_gr12_f">'[1]IV. Tables 14 &amp; 15'!$AQ$15</definedName>
    <definedName name="tchrs_special_artdesign_creawrite_gr12_m">'[1]IV. Tables 14 &amp; 15'!$AN$15</definedName>
    <definedName name="tchrs_special_artdesign_dance_gr11_f">'[1]IV. Tables 14 &amp; 15'!$AK$12</definedName>
    <definedName name="tchrs_special_artdesign_dance_gr11_m">'[1]IV. Tables 14 &amp; 15'!$AH$12</definedName>
    <definedName name="tchrs_special_artdesign_dance_gr12_f">'[1]IV. Tables 14 &amp; 15'!$AQ$12</definedName>
    <definedName name="tchrs_special_artdesign_dance_gr12_m">'[1]IV. Tables 14 &amp; 15'!$AN$12</definedName>
    <definedName name="tchrs_special_artdesign_literary_arts_gr11_f">'[1]IV. Tables 14 &amp; 15'!$AK$14</definedName>
    <definedName name="tchrs_special_artdesign_literary_arts_gr11_m">'[1]IV. Tables 14 &amp; 15'!$AH$14</definedName>
    <definedName name="tchrs_special_artdesign_literary_arts_gr12_f">'[1]IV. Tables 14 &amp; 15'!$AQ$14</definedName>
    <definedName name="tchrs_special_artdesign_literary_arts_gr12_m">'[1]IV. Tables 14 &amp; 15'!$AN$14</definedName>
    <definedName name="tchrs_special_artdesign_media_arts_gr11_f">'[1]IV. Tables 14 &amp; 15'!$AK$16</definedName>
    <definedName name="tchrs_special_artdesign_media_arts_gr11_m">'[1]IV. Tables 14 &amp; 15'!$AH$16</definedName>
    <definedName name="tchrs_special_artdesign_media_arts_gr12_f">'[1]IV. Tables 14 &amp; 15'!$AQ$16</definedName>
    <definedName name="tchrs_special_artdesign_media_arts_gr12_m">'[1]IV. Tables 14 &amp; 15'!$AN$16</definedName>
    <definedName name="tchrs_special_artdesign_music_gr11_f">'[1]IV. Tables 14 &amp; 15'!$AK$11</definedName>
    <definedName name="tchrs_special_artdesign_music_gr11_m">'[1]IV. Tables 14 &amp; 15'!$AH$11</definedName>
    <definedName name="tchrs_special_artdesign_music_gr12_f">'[1]IV. Tables 14 &amp; 15'!$AQ$11</definedName>
    <definedName name="tchrs_special_artdesign_music_gr12_m">'[1]IV. Tables 14 &amp; 15'!$AN$11</definedName>
    <definedName name="tchrs_special_artdesign_teaching_applied_arts_female">'[1]IV. Tables 14 &amp; 15'!$AW$18</definedName>
    <definedName name="tchrs_special_artdesign_teaching_applied_arts_male">'[1]IV. Tables 14 &amp; 15'!$AT$18</definedName>
    <definedName name="tchrs_special_artdesign_teaching_creawrite_female">'[1]IV. Tables 14 &amp; 15'!$AW$15</definedName>
    <definedName name="tchrs_special_artdesign_teaching_creawrite_male">'[1]IV. Tables 14 &amp; 15'!$AT$15</definedName>
    <definedName name="tchrs_special_artdesign_teaching_dance_female">'[1]IV. Tables 14 &amp; 15'!$AW$12</definedName>
    <definedName name="tchrs_special_artdesign_teaching_dance_male">'[1]IV. Tables 14 &amp; 15'!$AT$12</definedName>
    <definedName name="tchrs_special_artdesign_teaching_literary_arts_female">'[1]IV. Tables 14 &amp; 15'!$AW$14</definedName>
    <definedName name="tchrs_special_artdesign_teaching_literary_arts_male">'[1]IV. Tables 14 &amp; 15'!$AT$14</definedName>
    <definedName name="tchrs_special_artdesign_teaching_media_arts_female">'[1]IV. Tables 14 &amp; 15'!$AW$16</definedName>
    <definedName name="tchrs_special_artdesign_teaching_media_arts_male">'[1]IV. Tables 14 &amp; 15'!$AT$16</definedName>
    <definedName name="tchrs_special_artdesign_teaching_music_female">'[1]IV. Tables 14 &amp; 15'!$AW$11</definedName>
    <definedName name="tchrs_special_artdesign_teaching_music_male">'[1]IV. Tables 14 &amp; 15'!$AT$11</definedName>
    <definedName name="tchrs_special_artdesign_teaching_theater_arts_female">'[1]IV. Tables 14 &amp; 15'!$AW$13</definedName>
    <definedName name="tchrs_special_artdesign_teaching_theater_arts_male">'[1]IV. Tables 14 &amp; 15'!$AT$13</definedName>
    <definedName name="tchrs_special_artdesign_teaching_traditional_arts_female">'[1]IV. Tables 14 &amp; 15'!$AW$19</definedName>
    <definedName name="tchrs_special_artdesign_teaching_traditional_arts_male">'[1]IV. Tables 14 &amp; 15'!$AT$19</definedName>
    <definedName name="tchrs_special_artdesign_teaching_visual_arts_female">'[1]IV. Tables 14 &amp; 15'!$AW$17</definedName>
    <definedName name="tchrs_special_artdesign_teaching_visual_arts_male">'[1]IV. Tables 14 &amp; 15'!$AT$17</definedName>
    <definedName name="tchrs_special_artdesign_theater_arts_gr11_f">'[1]IV. Tables 14 &amp; 15'!$AK$13</definedName>
    <definedName name="tchrs_special_artdesign_theater_arts_gr11_m">'[1]IV. Tables 14 &amp; 15'!$AH$13</definedName>
    <definedName name="tchrs_special_artdesign_theater_arts_gr12_f">'[1]IV. Tables 14 &amp; 15'!$AQ$13</definedName>
    <definedName name="tchrs_special_artdesign_theater_arts_gr12_m">'[1]IV. Tables 14 &amp; 15'!$AN$13</definedName>
    <definedName name="tchrs_special_artdesign_traditional_arts_gr11_f">'[1]IV. Tables 14 &amp; 15'!$AK$19</definedName>
    <definedName name="tchrs_special_artdesign_traditional_arts_gr11_m">'[1]IV. Tables 14 &amp; 15'!$AH$19</definedName>
    <definedName name="tchrs_special_artdesign_traditional_arts_gr12_f">'[1]IV. Tables 14 &amp; 15'!$AQ$19</definedName>
    <definedName name="tchrs_special_artdesign_traditional_arts_gr12_m">'[1]IV. Tables 14 &amp; 15'!$AN$19</definedName>
    <definedName name="tchrs_special_artdesign_visual_arts_gr11_f">'[1]IV. Tables 14 &amp; 15'!$AK$17</definedName>
    <definedName name="tchrs_special_artdesign_visual_arts_gr11_m">'[1]IV. Tables 14 &amp; 15'!$AH$17</definedName>
    <definedName name="tchrs_special_artdesign_visual_arts_gr12_f">'[1]IV. Tables 14 &amp; 15'!$AQ$17</definedName>
    <definedName name="tchrs_special_artdesign_visual_arts_gr12_m">'[1]IV. Tables 14 &amp; 15'!$AN$17</definedName>
    <definedName name="tchrs_tesdanatlquali_agri_agricrops_diploma">'[1]IV. Table 16'!$AZ$35</definedName>
    <definedName name="tchrs_tesdanatlquali_agri_agricrops_nc1">'[1]IV. Table 16'!$AF$35</definedName>
    <definedName name="tchrs_tesdanatlquali_agri_agricrops_nc2">'[1]IV. Table 16'!$AK$35</definedName>
    <definedName name="tchrs_tesdanatlquali_agri_agricrops_nc3">'[1]IV. Table 16'!$AP$35</definedName>
    <definedName name="tchrs_tesdanatlquali_agri_agricrops_nc4">'[1]IV. Table 16'!$AU$35</definedName>
    <definedName name="tchrs_tesdanatlquali_agri_agricrops_trainmethod1">'[1]IV. Table 16'!$BE$35</definedName>
    <definedName name="tchrs_tesdanatlquali_agri_agricrops_trainmethod2">'[1]IV. Table 16'!$BJ$35</definedName>
    <definedName name="tchrs_tesdanatlquali_agri_animalhealth_diploma">'[1]IV. Table 16'!$AZ$36</definedName>
    <definedName name="tchrs_tesdanatlquali_agri_animalhealth_nc1">'[1]IV. Table 16'!$AF$36</definedName>
    <definedName name="tchrs_tesdanatlquali_agri_animalhealth_nc2">'[1]IV. Table 16'!$AK$36</definedName>
    <definedName name="tchrs_tesdanatlquali_agri_animalhealth_nc3">'[1]IV. Table 16'!$AP$36</definedName>
    <definedName name="tchrs_tesdanatlquali_agri_animalhealth_nc4">'[1]IV. Table 16'!$AU$36</definedName>
    <definedName name="tchrs_tesdanatlquali_agri_animalhealth_trainmethod1">'[1]IV. Table 16'!$BE$36</definedName>
    <definedName name="tchrs_tesdanatlquali_agri_animalhealth_trainmethod2">'[1]IV. Table 16'!$BJ$36</definedName>
    <definedName name="tchrs_tesdanatlquali_agri_animalprod_diploma">'[1]IV. Table 16'!$AZ$37</definedName>
    <definedName name="tchrs_tesdanatlquali_agri_animalprod_nc1">'[1]IV. Table 16'!$AF$37</definedName>
    <definedName name="tchrs_tesdanatlquali_agri_animalprod_nc2">'[1]IV. Table 16'!$AK$37</definedName>
    <definedName name="tchrs_tesdanatlquali_agri_animalprod_nc3">'[1]IV. Table 16'!$AP$37</definedName>
    <definedName name="tchrs_tesdanatlquali_agri_animalprod_nc4">'[1]IV. Table 16'!$AU$37</definedName>
    <definedName name="tchrs_tesdanatlquali_agri_animalprod_trainmethod1">'[1]IV. Table 16'!$BE$37</definedName>
    <definedName name="tchrs_tesdanatlquali_agri_animalprod_trainmethod2">'[1]IV. Table 16'!$BJ$37</definedName>
    <definedName name="tchrs_tesdanatlquali_agri_aquaculture_diploma">'[1]IV. Table 16'!$AZ$38</definedName>
    <definedName name="tchrs_tesdanatlquali_agri_aquaculture_nc1">'[1]IV. Table 16'!$AF$38</definedName>
    <definedName name="tchrs_tesdanatlquali_agri_aquaculture_nc2">'[1]IV. Table 16'!$AK$38</definedName>
    <definedName name="tchrs_tesdanatlquali_agri_aquaculture_nc3">'[1]IV. Table 16'!$AP$38</definedName>
    <definedName name="tchrs_tesdanatlquali_agri_aquaculture_nc4">'[1]IV. Table 16'!$AU$38</definedName>
    <definedName name="tchrs_tesdanatlquali_agri_aquaculture_trainmethod1">'[1]IV. Table 16'!$BE$38</definedName>
    <definedName name="tchrs_tesdanatlquali_agri_aquaculture_trainmethod2">'[1]IV. Table 16'!$BJ$38</definedName>
    <definedName name="tchrs_tesdanatlquali_agri_artiruminants_diploma">'[1]IV. Table 16'!$AZ$39</definedName>
    <definedName name="tchrs_tesdanatlquali_agri_artiruminants_nc1">'[1]IV. Table 16'!$AF$39</definedName>
    <definedName name="tchrs_tesdanatlquali_agri_artiruminants_nc2">'[1]IV. Table 16'!$AK$39</definedName>
    <definedName name="tchrs_tesdanatlquali_agri_artiruminants_nc3">'[1]IV. Table 16'!$AP$39</definedName>
    <definedName name="tchrs_tesdanatlquali_agri_artiruminants_nc4">'[1]IV. Table 16'!$AU$39</definedName>
    <definedName name="tchrs_tesdanatlquali_agri_artiruminants_trainmethod1">'[1]IV. Table 16'!$BE$39</definedName>
    <definedName name="tchrs_tesdanatlquali_agri_artiruminants_trainmethod2">'[1]IV. Table 16'!$BJ$39</definedName>
    <definedName name="tchrs_tesdanatlquali_agri_artiswine_diploma">'[1]IV. Table 16'!$AZ$40</definedName>
    <definedName name="tchrs_tesdanatlquali_agri_artiswine_nc1">'[1]IV. Table 16'!$AF$40</definedName>
    <definedName name="tchrs_tesdanatlquali_agri_artiswine_nc2">'[1]IV. Table 16'!$AK$40</definedName>
    <definedName name="tchrs_tesdanatlquali_agri_artiswine_nc3">'[1]IV. Table 16'!$AP$40</definedName>
    <definedName name="tchrs_tesdanatlquali_agri_artiswine_nc4">'[1]IV. Table 16'!$AU$40</definedName>
    <definedName name="tchrs_tesdanatlquali_agri_artiswine_trainmethod1">'[1]IV. Table 16'!$BE$40</definedName>
    <definedName name="tchrs_tesdanatlquali_agri_artiswine_trainmethod2">'[1]IV. Table 16'!$BJ$40</definedName>
    <definedName name="tchrs_tesdanatlquali_agri_fishcapture_diploma">'[1]IV. Table 16'!$AZ$41</definedName>
    <definedName name="tchrs_tesdanatlquali_agri_fishcapture_nc1">'[1]IV. Table 16'!$AF$41</definedName>
    <definedName name="tchrs_tesdanatlquali_agri_fishcapture_nc2">'[1]IV. Table 16'!$AK$41</definedName>
    <definedName name="tchrs_tesdanatlquali_agri_fishcapture_nc3">'[1]IV. Table 16'!$AP$41</definedName>
    <definedName name="tchrs_tesdanatlquali_agri_fishcapture_nc4">'[1]IV. Table 16'!$AU$41</definedName>
    <definedName name="tchrs_tesdanatlquali_agri_fishcapture_trainmethod1">'[1]IV. Table 16'!$BE$41</definedName>
    <definedName name="tchrs_tesdanatlquali_agri_fishcapture_trainmethod2">'[1]IV. Table 16'!$BJ$41</definedName>
    <definedName name="tchrs_tesdanatlquali_agri_fishinggear_diploma">'[1]IV. Table 16'!$AZ$44</definedName>
    <definedName name="tchrs_tesdanatlquali_agri_fishinggear_nc1">'[1]IV. Table 16'!$AF$44</definedName>
    <definedName name="tchrs_tesdanatlquali_agri_fishinggear_nc2">'[1]IV. Table 16'!$AK$44</definedName>
    <definedName name="tchrs_tesdanatlquali_agri_fishinggear_nc3">'[1]IV. Table 16'!$AP$44</definedName>
    <definedName name="tchrs_tesdanatlquali_agri_fishinggear_nc4">'[1]IV. Table 16'!$AU$44</definedName>
    <definedName name="tchrs_tesdanatlquali_agri_fishinggear_trainmethod1">'[1]IV. Table 16'!$BE$44</definedName>
    <definedName name="tchrs_tesdanatlquali_agri_fishinggear_trainmethod2">'[1]IV. Table 16'!$BJ$44</definedName>
    <definedName name="tchrs_tesdanatlquali_agri_fishportnwharf_diploma">'[1]IV. Table 16'!$AZ$43</definedName>
    <definedName name="tchrs_tesdanatlquali_agri_fishportnwharf_nc1">'[1]IV. Table 16'!$AF$43</definedName>
    <definedName name="tchrs_tesdanatlquali_agri_fishportnwharf_nc2">'[1]IV. Table 16'!$AK$43</definedName>
    <definedName name="tchrs_tesdanatlquali_agri_fishportnwharf_nc3">'[1]IV. Table 16'!$AP$43</definedName>
    <definedName name="tchrs_tesdanatlquali_agri_fishportnwharf_nc4">'[1]IV. Table 16'!$AU$43</definedName>
    <definedName name="tchrs_tesdanatlquali_agri_fishportnwharf_trainmethod1">'[1]IV. Table 16'!$BE$43</definedName>
    <definedName name="tchrs_tesdanatlquali_agri_fishportnwharf_trainmethod2">'[1]IV. Table 16'!$BJ$43</definedName>
    <definedName name="tchrs_tesdanatlquali_agri_fishprocessing_diploma">'[1]IV. Table 16'!$AZ$45</definedName>
    <definedName name="tchrs_tesdanatlquali_agri_fishprocessing_nc1">'[1]IV. Table 16'!$AF$45</definedName>
    <definedName name="tchrs_tesdanatlquali_agri_fishprocessing_nc2">'[1]IV. Table 16'!$AK$45</definedName>
    <definedName name="tchrs_tesdanatlquali_agri_fishprocessing_nc3">'[1]IV. Table 16'!$AP$45</definedName>
    <definedName name="tchrs_tesdanatlquali_agri_fishprocessing_nc4">'[1]IV. Table 16'!$AU$45</definedName>
    <definedName name="tchrs_tesdanatlquali_agri_fishprocessing_trainmethod1">'[1]IV. Table 16'!$BE$45</definedName>
    <definedName name="tchrs_tesdanatlquali_agri_fishprocessing_trainmethod2">'[1]IV. Table 16'!$BJ$45</definedName>
    <definedName name="tchrs_tesdanatlquali_agri_fishprod_diploma">'[1]IV. Table 16'!$AZ$42</definedName>
    <definedName name="tchrs_tesdanatlquali_agri_fishprod_nc1">'[1]IV. Table 16'!$AF$42</definedName>
    <definedName name="tchrs_tesdanatlquali_agri_fishprod_nc2">'[1]IV. Table 16'!$AK$42</definedName>
    <definedName name="tchrs_tesdanatlquali_agri_fishprod_nc3">'[1]IV. Table 16'!$AP$42</definedName>
    <definedName name="tchrs_tesdanatlquali_agri_fishprod_nc4">'[1]IV. Table 16'!$AU$42</definedName>
    <definedName name="tchrs_tesdanatlquali_agri_fishprod_trainmethod1">'[1]IV. Table 16'!$BE$42</definedName>
    <definedName name="tchrs_tesdanatlquali_agri_fishprod_trainmethod2">'[1]IV. Table 16'!$BJ$42</definedName>
    <definedName name="tchrs_tesdanatlquali_agri_horiculture_diploma">'[1]IV. Table 16'!$AZ$46</definedName>
    <definedName name="tchrs_tesdanatlquali_agri_horiculture_nc1">'[1]IV. Table 16'!$AF$46</definedName>
    <definedName name="tchrs_tesdanatlquali_agri_horiculture_nc2">'[1]IV. Table 16'!$AK$46</definedName>
    <definedName name="tchrs_tesdanatlquali_agri_horiculture_nc3">'[1]IV. Table 16'!$AP$46</definedName>
    <definedName name="tchrs_tesdanatlquali_agri_horiculture_nc4">'[1]IV. Table 16'!$AU$46</definedName>
    <definedName name="tchrs_tesdanatlquali_agri_horiculture_trainmethod1">'[1]IV. Table 16'!$BE$46</definedName>
    <definedName name="tchrs_tesdanatlquali_agri_horiculture_trainmethod2">'[1]IV. Table 16'!$BJ$46</definedName>
    <definedName name="tchrs_tesdanatlquali_agri_lanscapenmain_diploma">'[1]IV. Table 16'!$AZ$47</definedName>
    <definedName name="tchrs_tesdanatlquali_agri_lanscapenmain_nc1">'[1]IV. Table 16'!$AF$47</definedName>
    <definedName name="tchrs_tesdanatlquali_agri_lanscapenmain_nc2">'[1]IV. Table 16'!$AK$47</definedName>
    <definedName name="tchrs_tesdanatlquali_agri_lanscapenmain_nc3">'[1]IV. Table 16'!$AP$47</definedName>
    <definedName name="tchrs_tesdanatlquali_agri_lanscapenmain_nc4">'[1]IV. Table 16'!$AU$47</definedName>
    <definedName name="tchrs_tesdanatlquali_agri_lanscapenmain_trainmethod1">'[1]IV. Table 16'!$BE$47</definedName>
    <definedName name="tchrs_tesdanatlquali_agri_lanscapenmain_trainmethod2">'[1]IV. Table 16'!$BJ$47</definedName>
    <definedName name="tchrs_tesdanatlquali_agri_organicagri_diploma">'[1]IV. Table 16'!$AZ$48</definedName>
    <definedName name="tchrs_tesdanatlquali_agri_organicagri_nc1">'[1]IV. Table 16'!$AF$48</definedName>
    <definedName name="tchrs_tesdanatlquali_agri_organicagri_nc2">'[1]IV. Table 16'!$AK$48</definedName>
    <definedName name="tchrs_tesdanatlquali_agri_organicagri_nc3">'[1]IV. Table 16'!$AP$48</definedName>
    <definedName name="tchrs_tesdanatlquali_agri_organicagri_nc4">'[1]IV. Table 16'!$AU$48</definedName>
    <definedName name="tchrs_tesdanatlquali_agri_organicagri_trainmethod1">'[1]IV. Table 16'!$BE$48</definedName>
    <definedName name="tchrs_tesdanatlquali_agri_organicagri_trainmethod2">'[1]IV. Table 16'!$BJ$48</definedName>
    <definedName name="tchrs_tesdanatlquali_agri_pestmngt_diploma">'[1]IV. Table 16'!$AZ$49</definedName>
    <definedName name="tchrs_tesdanatlquali_agri_pestmngt_nc1">'[1]IV. Table 16'!$AF$49</definedName>
    <definedName name="tchrs_tesdanatlquali_agri_pestmngt_nc2">'[1]IV. Table 16'!$AK$49</definedName>
    <definedName name="tchrs_tesdanatlquali_agri_pestmngt_nc3">'[1]IV. Table 16'!$AP$49</definedName>
    <definedName name="tchrs_tesdanatlquali_agri_pestmngt_nc4">'[1]IV. Table 16'!$AU$49</definedName>
    <definedName name="tchrs_tesdanatlquali_agri_pestmngt_trainmethod1">'[1]IV. Table 16'!$BE$49</definedName>
    <definedName name="tchrs_tesdanatlquali_agri_pestmngt_trainmethod2">'[1]IV. Table 16'!$BJ$49</definedName>
    <definedName name="tchrs_tesdanatlquali_agri_ricemachinery_diploma">'[1]IV. Table 16'!$AZ$50</definedName>
    <definedName name="tchrs_tesdanatlquali_agri_ricemachinery_nc1">'[1]IV. Table 16'!$AF$50</definedName>
    <definedName name="tchrs_tesdanatlquali_agri_ricemachinery_nc2">'[1]IV. Table 16'!$AK$50</definedName>
    <definedName name="tchrs_tesdanatlquali_agri_ricemachinery_nc3">'[1]IV. Table 16'!$AP$50</definedName>
    <definedName name="tchrs_tesdanatlquali_agri_ricemachinery_nc4">'[1]IV. Table 16'!$AU$50</definedName>
    <definedName name="tchrs_tesdanatlquali_agri_ricemachinery_trainmethod1">'[1]IV. Table 16'!$BE$50</definedName>
    <definedName name="tchrs_tesdanatlquali_agri_ricemachinery_trainmethod2">'[1]IV. Table 16'!$BJ$50</definedName>
    <definedName name="tchrs_tesdanatlquali_agri_rubberprocessing_diploma">'[1]IV. Table 16'!$AZ$51</definedName>
    <definedName name="tchrs_tesdanatlquali_agri_rubberprocessing_nc1">'[1]IV. Table 16'!$AF$51</definedName>
    <definedName name="tchrs_tesdanatlquali_agri_rubberprocessing_nc2">'[1]IV. Table 16'!$AK$51</definedName>
    <definedName name="tchrs_tesdanatlquali_agri_rubberprocessing_nc3">'[1]IV. Table 16'!$AP$51</definedName>
    <definedName name="tchrs_tesdanatlquali_agri_rubberprocessing_nc4">'[1]IV. Table 16'!$AU$51</definedName>
    <definedName name="tchrs_tesdanatlquali_agri_rubberprocessing_trainmethod1">'[1]IV. Table 16'!$BE$51</definedName>
    <definedName name="tchrs_tesdanatlquali_agri_rubberprocessing_trainmethod2">'[1]IV. Table 16'!$BJ$51</definedName>
    <definedName name="tchrs_tesdanatlquali_agri_rubberproduction_diploma">'[1]IV. Table 16'!$AZ$52</definedName>
    <definedName name="tchrs_tesdanatlquali_agri_rubberproduction_nc1">'[1]IV. Table 16'!$AF$52</definedName>
    <definedName name="tchrs_tesdanatlquali_agri_rubberproduction_nc2">'[1]IV. Table 16'!$AK$52</definedName>
    <definedName name="tchrs_tesdanatlquali_agri_rubberproduction_nc3">'[1]IV. Table 16'!$AP$52</definedName>
    <definedName name="tchrs_tesdanatlquali_agri_rubberproduction_nc4">'[1]IV. Table 16'!$AU$52</definedName>
    <definedName name="tchrs_tesdanatlquali_agri_rubberproduction_trainmethod1">'[1]IV. Table 16'!$BE$52</definedName>
    <definedName name="tchrs_tesdanatlquali_agri_rubberproduction_trainmethod2">'[1]IV. Table 16'!$BJ$52</definedName>
    <definedName name="tchrs_tesdanatlquali_agri_slaughteringop_diploma">'[1]IV. Table 16'!$AZ$53</definedName>
    <definedName name="tchrs_tesdanatlquali_agri_slaughteringop_nc1">'[1]IV. Table 16'!$AF$53</definedName>
    <definedName name="tchrs_tesdanatlquali_agri_slaughteringop_nc2">'[1]IV. Table 16'!$AK$53</definedName>
    <definedName name="tchrs_tesdanatlquali_agri_slaughteringop_nc3">'[1]IV. Table 16'!$AP$53</definedName>
    <definedName name="tchrs_tesdanatlquali_agri_slaughteringop_nc4">'[1]IV. Table 16'!$AU$53</definedName>
    <definedName name="tchrs_tesdanatlquali_agri_slaughteringop_trainmethod1">'[1]IV. Table 16'!$BE$53</definedName>
    <definedName name="tchrs_tesdanatlquali_agri_slaughteringop_trainmethod2">'[1]IV. Table 16'!$BJ$53</definedName>
    <definedName name="tchrs_tesdanatlquali_he_attractions_diploma">'[1]IV. Table 16'!$AZ$10</definedName>
    <definedName name="tchrs_tesdanatlquali_he_attractions_nc1">'[1]IV. Table 16'!$AF$10</definedName>
    <definedName name="tchrs_tesdanatlquali_he_attractions_nc2">'[1]IV. Table 16'!$AK$10</definedName>
    <definedName name="tchrs_tesdanatlquali_he_attractions_nc3">'[1]IV. Table 16'!$AP$10</definedName>
    <definedName name="tchrs_tesdanatlquali_he_attractions_nc4">'[1]IV. Table 16'!$AU$10</definedName>
    <definedName name="tchrs_tesdanatlquali_he_attractions_trainmethod1">'[1]IV. Table 16'!$BE$10</definedName>
    <definedName name="tchrs_tesdanatlquali_he_attractions_trainmethod2">'[1]IV. Table 16'!$BJ$10</definedName>
    <definedName name="tchrs_tesdanatlquali_he_barbering_diploma">'[1]IV. Table 16'!$AZ$11</definedName>
    <definedName name="tchrs_tesdanatlquali_he_barbering_nc1">'[1]IV. Table 16'!$AF$11</definedName>
    <definedName name="tchrs_tesdanatlquali_he_barbering_nc2">'[1]IV. Table 16'!$AK$11</definedName>
    <definedName name="tchrs_tesdanatlquali_he_barbering_nc3">'[1]IV. Table 16'!$AP$11</definedName>
    <definedName name="tchrs_tesdanatlquali_he_barbering_nc4">'[1]IV. Table 16'!$AU$11</definedName>
    <definedName name="tchrs_tesdanatlquali_he_barbering_trainmethod1">'[1]IV. Table 16'!$BE$11</definedName>
    <definedName name="tchrs_tesdanatlquali_he_barbering_trainmethod2">'[1]IV. Table 16'!$BJ$11</definedName>
    <definedName name="tchrs_tesdanatlquali_he_bartending_diploma">'[1]IV. Table 16'!$AZ$12</definedName>
    <definedName name="tchrs_tesdanatlquali_he_bartending_nc1">'[1]IV. Table 16'!$AF$12</definedName>
    <definedName name="tchrs_tesdanatlquali_he_bartending_nc2">'[1]IV. Table 16'!$AK$12</definedName>
    <definedName name="tchrs_tesdanatlquali_he_bartending_nc3">'[1]IV. Table 16'!$AP$12</definedName>
    <definedName name="tchrs_tesdanatlquali_he_bartending_nc4">'[1]IV. Table 16'!$AU$12</definedName>
    <definedName name="tchrs_tesdanatlquali_he_bartending_trainmethod1">'[1]IV. Table 16'!$BE$12</definedName>
    <definedName name="tchrs_tesdanatlquali_he_bartending_trainmethod2">'[1]IV. Table 16'!$BJ$12</definedName>
    <definedName name="tchrs_tesdanatlquali_he_beautynail_diploma">'[1]IV. Table 16'!$AZ$13</definedName>
    <definedName name="tchrs_tesdanatlquali_he_beautynail_nc1">'[1]IV. Table 16'!$AF$13</definedName>
    <definedName name="tchrs_tesdanatlquali_he_beautynail_nc2">'[1]IV. Table 16'!$AK$13</definedName>
    <definedName name="tchrs_tesdanatlquali_he_beautynail_nc3">'[1]IV. Table 16'!$AP$13</definedName>
    <definedName name="tchrs_tesdanatlquali_he_beautynail_nc4">'[1]IV. Table 16'!$AU$13</definedName>
    <definedName name="tchrs_tesdanatlquali_he_beautynail_trainmethod1">'[1]IV. Table 16'!$BE$13</definedName>
    <definedName name="tchrs_tesdanatlquali_he_beautynail_trainmethod2">'[1]IV. Table 16'!$BJ$13</definedName>
    <definedName name="tchrs_tesdanatlquali_he_breadnpastry_diploma">'[1]IV. Table 16'!$AZ$14</definedName>
    <definedName name="tchrs_tesdanatlquali_he_breadnpastry_nc1">'[1]IV. Table 16'!$AF$14</definedName>
    <definedName name="tchrs_tesdanatlquali_he_breadnpastry_nc2">'[1]IV. Table 16'!$AK$14</definedName>
    <definedName name="tchrs_tesdanatlquali_he_breadnpastry_nc3">'[1]IV. Table 16'!$AP$14</definedName>
    <definedName name="tchrs_tesdanatlquali_he_breadnpastry_nc4">'[1]IV. Table 16'!$AU$14</definedName>
    <definedName name="tchrs_tesdanatlquali_he_breadnpastry_trainmethod1">'[1]IV. Table 16'!$BE$14</definedName>
    <definedName name="tchrs_tesdanatlquali_he_breadnpastry_trainmethod2">'[1]IV. Table 16'!$BJ$14</definedName>
    <definedName name="tchrs_tesdanatlquali_he_caregiving_diploma">'[1]IV. Table 16'!$AZ$15</definedName>
    <definedName name="tchrs_tesdanatlquali_he_caregiving_nc1">'[1]IV. Table 16'!$AF$15</definedName>
    <definedName name="tchrs_tesdanatlquali_he_caregiving_nc2">'[1]IV. Table 16'!$AK$15</definedName>
    <definedName name="tchrs_tesdanatlquali_he_caregiving_nc3">'[1]IV. Table 16'!$AP$15</definedName>
    <definedName name="tchrs_tesdanatlquali_he_caregiving_nc4">'[1]IV. Table 16'!$AU$15</definedName>
    <definedName name="tchrs_tesdanatlquali_he_caregiving_trainmethod1">'[1]IV. Table 16'!$BE$15</definedName>
    <definedName name="tchrs_tesdanatlquali_he_caregiving_trainmethod2">'[1]IV. Table 16'!$BJ$15</definedName>
    <definedName name="tchrs_tesdanatlquali_he_comcooking_diploma">'[1]IV. Table 16'!$AZ$16</definedName>
    <definedName name="tchrs_tesdanatlquali_he_comcooking_nc1">'[1]IV. Table 16'!$AF$16</definedName>
    <definedName name="tchrs_tesdanatlquali_he_comcooking_nc2">'[1]IV. Table 16'!$AK$16</definedName>
    <definedName name="tchrs_tesdanatlquali_he_comcooking_nc3">'[1]IV. Table 16'!$AP$16</definedName>
    <definedName name="tchrs_tesdanatlquali_he_comcooking_nc4">'[1]IV. Table 16'!$AU$16</definedName>
    <definedName name="tchrs_tesdanatlquali_he_comcooking_trainmethod1">'[1]IV. Table 16'!$BE$16</definedName>
    <definedName name="tchrs_tesdanatlquali_he_comcooking_trainmethod2">'[1]IV. Table 16'!$BJ$16</definedName>
    <definedName name="tchrs_tesdanatlquali_he_cookery_diploma">'[1]IV. Table 16'!$AZ$17</definedName>
    <definedName name="tchrs_tesdanatlquali_he_cookery_nc1">'[1]IV. Table 16'!$AF$17</definedName>
    <definedName name="tchrs_tesdanatlquali_he_cookery_nc2">'[1]IV. Table 16'!$AK$17</definedName>
    <definedName name="tchrs_tesdanatlquali_he_cookery_nc3">'[1]IV. Table 16'!$AP$17</definedName>
    <definedName name="tchrs_tesdanatlquali_he_cookery_nc4">'[1]IV. Table 16'!$AU$17</definedName>
    <definedName name="tchrs_tesdanatlquali_he_cookery_trainmethod1">'[1]IV. Table 16'!$BE$17</definedName>
    <definedName name="tchrs_tesdanatlquali_he_cookery_trainmethod2">'[1]IV. Table 16'!$BJ$17</definedName>
    <definedName name="tchrs_tesdanatlquali_he_dressmaking_diploma">'[1]IV. Table 16'!$AZ$18</definedName>
    <definedName name="tchrs_tesdanatlquali_he_dressmaking_nc1">'[1]IV. Table 16'!$AF$18</definedName>
    <definedName name="tchrs_tesdanatlquali_he_dressmaking_nc2">'[1]IV. Table 16'!$AK$18</definedName>
    <definedName name="tchrs_tesdanatlquali_he_dressmaking_nc3">'[1]IV. Table 16'!$AP$18</definedName>
    <definedName name="tchrs_tesdanatlquali_he_dressmaking_nc4">'[1]IV. Table 16'!$AU$18</definedName>
    <definedName name="tchrs_tesdanatlquali_he_dressmaking_trainmethod1">'[1]IV. Table 16'!$BE$18</definedName>
    <definedName name="tchrs_tesdanatlquali_he_dressmaking_trainmethod2">'[1]IV. Table 16'!$BJ$18</definedName>
    <definedName name="tchrs_tesdanatlquali_he_eventsmngt_diploma">'[1]IV. Table 16'!$AZ$19</definedName>
    <definedName name="tchrs_tesdanatlquali_he_eventsmngt_nc1">'[1]IV. Table 16'!$AF$19</definedName>
    <definedName name="tchrs_tesdanatlquali_he_eventsmngt_nc2">'[1]IV. Table 16'!$AK$19</definedName>
    <definedName name="tchrs_tesdanatlquali_he_eventsmngt_nc3">'[1]IV. Table 16'!$AP$19</definedName>
    <definedName name="tchrs_tesdanatlquali_he_eventsmngt_nc4">'[1]IV. Table 16'!$AU$19</definedName>
    <definedName name="tchrs_tesdanatlquali_he_eventsmngt_trainmethod1">'[1]IV. Table 16'!$BE$19</definedName>
    <definedName name="tchrs_tesdanatlquali_he_eventsmngt_trainmethod2">'[1]IV. Table 16'!$BJ$19</definedName>
    <definedName name="tchrs_tesdanatlquali_he_fashiondesign_diploma">'[1]IV. Table 16'!$AZ$20</definedName>
    <definedName name="tchrs_tesdanatlquali_he_fashiondesign_nc1">'[1]IV. Table 16'!$AF$20</definedName>
    <definedName name="tchrs_tesdanatlquali_he_fashiondesign_nc2">'[1]IV. Table 16'!$AK$20</definedName>
    <definedName name="tchrs_tesdanatlquali_he_fashiondesign_nc3">'[1]IV. Table 16'!$AP$20</definedName>
    <definedName name="tchrs_tesdanatlquali_he_fashiondesign_nc4">'[1]IV. Table 16'!$AU$20</definedName>
    <definedName name="tchrs_tesdanatlquali_he_fashiondesign_trainmethod1">'[1]IV. Table 16'!$BE$20</definedName>
    <definedName name="tchrs_tesdanatlquali_he_fashiondesign_trainmethod2">'[1]IV. Table 16'!$BJ$20</definedName>
    <definedName name="tchrs_tesdanatlquali_he_foodnbeverage_diploma">'[1]IV. Table 16'!$AZ$21</definedName>
    <definedName name="tchrs_tesdanatlquali_he_foodnbeverage_nc1">'[1]IV. Table 16'!$AF$21</definedName>
    <definedName name="tchrs_tesdanatlquali_he_foodnbeverage_nc2">'[1]IV. Table 16'!$AK$21</definedName>
    <definedName name="tchrs_tesdanatlquali_he_foodnbeverage_nc3">'[1]IV. Table 16'!$AP$21</definedName>
    <definedName name="tchrs_tesdanatlquali_he_foodnbeverage_nc4">'[1]IV. Table 16'!$AU$21</definedName>
    <definedName name="tchrs_tesdanatlquali_he_foodnbeverage_trainmethod1">'[1]IV. Table 16'!$BE$21</definedName>
    <definedName name="tchrs_tesdanatlquali_he_foodnbeverage_trainmethod2">'[1]IV. Table 16'!$BJ$21</definedName>
    <definedName name="tchrs_tesdanatlquali_he_frontofc_diploma">'[1]IV. Table 16'!$AZ$22</definedName>
    <definedName name="tchrs_tesdanatlquali_he_frontofc_nc1">'[1]IV. Table 16'!$AF$22</definedName>
    <definedName name="tchrs_tesdanatlquali_he_frontofc_nc2">'[1]IV. Table 16'!$AK$22</definedName>
    <definedName name="tchrs_tesdanatlquali_he_frontofc_nc3">'[1]IV. Table 16'!$AP$22</definedName>
    <definedName name="tchrs_tesdanatlquali_he_frontofc_nc4">'[1]IV. Table 16'!$AU$22</definedName>
    <definedName name="tchrs_tesdanatlquali_he_frontofc_trainmethod1">'[1]IV. Table 16'!$BE$22</definedName>
    <definedName name="tchrs_tesdanatlquali_he_frontofc_trainmethod2">'[1]IV. Table 16'!$BJ$22</definedName>
    <definedName name="tchrs_tesdanatlquali_he_hairdressing_diploma">'[1]IV. Table 16'!$AZ$23</definedName>
    <definedName name="tchrs_tesdanatlquali_he_hairdressing_nc1">'[1]IV. Table 16'!$AF$23</definedName>
    <definedName name="tchrs_tesdanatlquali_he_hairdressing_nc2">'[1]IV. Table 16'!$AK$23</definedName>
    <definedName name="tchrs_tesdanatlquali_he_hairdressing_nc3">'[1]IV. Table 16'!$AP$23</definedName>
    <definedName name="tchrs_tesdanatlquali_he_hairdressing_nc4">'[1]IV. Table 16'!$AU$23</definedName>
    <definedName name="tchrs_tesdanatlquali_he_hairdressing_trainmethod1">'[1]IV. Table 16'!$BE$23</definedName>
    <definedName name="tchrs_tesdanatlquali_he_hairdressing_trainmethod2">'[1]IV. Table 16'!$BJ$23</definedName>
    <definedName name="tchrs_tesdanatlquali_he_handibasketry_diploma">'[1]IV. Table 16'!$AZ$24</definedName>
    <definedName name="tchrs_tesdanatlquali_he_handibasketry_nc1">'[1]IV. Table 16'!$AF$24</definedName>
    <definedName name="tchrs_tesdanatlquali_he_handibasketry_nc2">'[1]IV. Table 16'!$AK$24</definedName>
    <definedName name="tchrs_tesdanatlquali_he_handibasketry_nc3">'[1]IV. Table 16'!$AP$24</definedName>
    <definedName name="tchrs_tesdanatlquali_he_handibasketry_nc4">'[1]IV. Table 16'!$AU$24</definedName>
    <definedName name="tchrs_tesdanatlquali_he_handibasketry_trainmethod1">'[1]IV. Table 16'!$BE$24</definedName>
    <definedName name="tchrs_tesdanatlquali_he_handibasketry_trainmethod2">'[1]IV. Table 16'!$BJ$24</definedName>
    <definedName name="tchrs_tesdanatlquali_he_handifashion_diploma">'[1]IV. Table 16'!$AZ$25</definedName>
    <definedName name="tchrs_tesdanatlquali_he_handifashion_nc1">'[1]IV. Table 16'!$AF$25</definedName>
    <definedName name="tchrs_tesdanatlquali_he_handifashion_nc2">'[1]IV. Table 16'!$AK$25</definedName>
    <definedName name="tchrs_tesdanatlquali_he_handifashion_nc3">'[1]IV. Table 16'!$AP$25</definedName>
    <definedName name="tchrs_tesdanatlquali_he_handifashion_nc4">'[1]IV. Table 16'!$AU$25</definedName>
    <definedName name="tchrs_tesdanatlquali_he_handifashion_trainmethod1">'[1]IV. Table 16'!$BE$25</definedName>
    <definedName name="tchrs_tesdanatlquali_he_handifashion_trainmethod2">'[1]IV. Table 16'!$BJ$25</definedName>
    <definedName name="tchrs_tesdanatlquali_he_handineedle_diploma">'[1]IV. Table 16'!$AZ$26</definedName>
    <definedName name="tchrs_tesdanatlquali_he_handineedle_nc1">'[1]IV. Table 16'!$AF$26</definedName>
    <definedName name="tchrs_tesdanatlquali_he_handineedle_nc2">'[1]IV. Table 16'!$AK$26</definedName>
    <definedName name="tchrs_tesdanatlquali_he_handineedle_nc3">'[1]IV. Table 16'!$AP$26</definedName>
    <definedName name="tchrs_tesdanatlquali_he_handineedle_nc4">'[1]IV. Table 16'!$AU$26</definedName>
    <definedName name="tchrs_tesdanatlquali_he_handineedle_trainmethod1">'[1]IV. Table 16'!$BE$26</definedName>
    <definedName name="tchrs_tesdanatlquali_he_handineedle_trainmethod2">'[1]IV. Table 16'!$BJ$26</definedName>
    <definedName name="tchrs_tesdanatlquali_he_handiwoodcraft_diploma">'[1]IV. Table 16'!$AZ$27</definedName>
    <definedName name="tchrs_tesdanatlquali_he_handiwoodcraft_nc1">'[1]IV. Table 16'!$AF$27</definedName>
    <definedName name="tchrs_tesdanatlquali_he_handiwoodcraft_nc2">'[1]IV. Table 16'!$AK$27</definedName>
    <definedName name="tchrs_tesdanatlquali_he_handiwoodcraft_nc3">'[1]IV. Table 16'!$AP$27</definedName>
    <definedName name="tchrs_tesdanatlquali_he_handiwoodcraft_nc4">'[1]IV. Table 16'!$AU$27</definedName>
    <definedName name="tchrs_tesdanatlquali_he_handiwoodcraft_trainmethod1">'[1]IV. Table 16'!$BE$27</definedName>
    <definedName name="tchrs_tesdanatlquali_he_handiwoodcraft_trainmethod2">'[1]IV. Table 16'!$BJ$27</definedName>
    <definedName name="tchrs_tesdanatlquali_he_housekeeping_diploma">'[1]IV. Table 16'!$AZ$28</definedName>
    <definedName name="tchrs_tesdanatlquali_he_housekeeping_nc1">'[1]IV. Table 16'!$AF$28</definedName>
    <definedName name="tchrs_tesdanatlquali_he_housekeeping_nc2">'[1]IV. Table 16'!$AK$28</definedName>
    <definedName name="tchrs_tesdanatlquali_he_housekeeping_nc3">'[1]IV. Table 16'!$AP$28</definedName>
    <definedName name="tchrs_tesdanatlquali_he_housekeeping_nc4">'[1]IV. Table 16'!$AU$28</definedName>
    <definedName name="tchrs_tesdanatlquali_he_housekeeping_trainmethod1">'[1]IV. Table 16'!$BE$28</definedName>
    <definedName name="tchrs_tesdanatlquali_he_housekeeping_trainmethod2">'[1]IV. Table 16'!$BJ$28</definedName>
    <definedName name="tchrs_tesdanatlquali_he_localguiding_diploma">'[1]IV. Table 16'!$AZ$30</definedName>
    <definedName name="tchrs_tesdanatlquali_he_localguiding_nc1">'[1]IV. Table 16'!$AF$30</definedName>
    <definedName name="tchrs_tesdanatlquali_he_localguiding_nc2">'[1]IV. Table 16'!$AK$30</definedName>
    <definedName name="tchrs_tesdanatlquali_he_localguiding_nc3">'[1]IV. Table 16'!$AP$30</definedName>
    <definedName name="tchrs_tesdanatlquali_he_localguiding_nc4">'[1]IV. Table 16'!$AU$30</definedName>
    <definedName name="tchrs_tesdanatlquali_he_localguiding_trainmethod1">'[1]IV. Table 16'!$BE$30</definedName>
    <definedName name="tchrs_tesdanatlquali_he_localguiding_trainmethod2">'[1]IV. Table 16'!$BJ$30</definedName>
    <definedName name="tchrs_tesdanatlquali_he_tailoring_diploma">'[1]IV. Table 16'!$AZ$29</definedName>
    <definedName name="tchrs_tesdanatlquali_he_tailoring_nc1">'[1]IV. Table 16'!$AF$29</definedName>
    <definedName name="tchrs_tesdanatlquali_he_tailoring_nc2">'[1]IV. Table 16'!$AK$29</definedName>
    <definedName name="tchrs_tesdanatlquali_he_tailoring_nc3">'[1]IV. Table 16'!$AP$29</definedName>
    <definedName name="tchrs_tesdanatlquali_he_tailoring_nc4">'[1]IV. Table 16'!$AU$29</definedName>
    <definedName name="tchrs_tesdanatlquali_he_tailoring_trainmethod1">'[1]IV. Table 16'!$BE$29</definedName>
    <definedName name="tchrs_tesdanatlquali_he_tailoring_trainmethod2">'[1]IV. Table 16'!$BJ$29</definedName>
    <definedName name="tchrs_tesdanatlquali_he_tourismpromotion_diploma">'[1]IV. Table 16'!$AZ$31</definedName>
    <definedName name="tchrs_tesdanatlquali_he_tourismpromotion_nc1">'[1]IV. Table 16'!$AF$31</definedName>
    <definedName name="tchrs_tesdanatlquali_he_tourismpromotion_nc2">'[1]IV. Table 16'!$AK$31</definedName>
    <definedName name="tchrs_tesdanatlquali_he_tourismpromotion_nc3">'[1]IV. Table 16'!$AP$31</definedName>
    <definedName name="tchrs_tesdanatlquali_he_tourismpromotion_nc4">'[1]IV. Table 16'!$AU$31</definedName>
    <definedName name="tchrs_tesdanatlquali_he_tourismpromotion_trainmethod1">'[1]IV. Table 16'!$BE$31</definedName>
    <definedName name="tchrs_tesdanatlquali_he_tourismpromotion_trainmethod2">'[1]IV. Table 16'!$BJ$31</definedName>
    <definedName name="tchrs_tesdanatlquali_he_travelservices_diploma">'[1]IV. Table 16'!$AZ$32</definedName>
    <definedName name="tchrs_tesdanatlquali_he_travelservices_nc1">'[1]IV. Table 16'!$AF$32</definedName>
    <definedName name="tchrs_tesdanatlquali_he_travelservices_nc2">'[1]IV. Table 16'!$AK$32</definedName>
    <definedName name="tchrs_tesdanatlquali_he_travelservices_nc3">'[1]IV. Table 16'!$AP$32</definedName>
    <definedName name="tchrs_tesdanatlquali_he_travelservices_nc4">'[1]IV. Table 16'!$AU$32</definedName>
    <definedName name="tchrs_tesdanatlquali_he_travelservices_trainmethod1">'[1]IV. Table 16'!$BE$32</definedName>
    <definedName name="tchrs_tesdanatlquali_he_travelservices_trainmethod2">'[1]IV. Table 16'!$BJ$32</definedName>
    <definedName name="tchrs_tesdanatlquali_he_wellnessmassage_diploma">'[1]IV. Table 16'!$AZ$33</definedName>
    <definedName name="tchrs_tesdanatlquali_he_wellnessmassage_nc1">'[1]IV. Table 16'!$AF$33</definedName>
    <definedName name="tchrs_tesdanatlquali_he_wellnessmassage_nc2">'[1]IV. Table 16'!$AK$33</definedName>
    <definedName name="tchrs_tesdanatlquali_he_wellnessmassage_nc3">'[1]IV. Table 16'!$AP$33</definedName>
    <definedName name="tchrs_tesdanatlquali_he_wellnessmassage_nc4">'[1]IV. Table 16'!$AU$33</definedName>
    <definedName name="tchrs_tesdanatlquali_he_wellnessmassage_trainmethod1">'[1]IV. Table 16'!$BE$33</definedName>
    <definedName name="tchrs_tesdanatlquali_he_wellnessmassage_trainmethod2">'[1]IV. Table 16'!$BJ$33</definedName>
    <definedName name="tchrs_tesdanatlquali_ict_animation_diploma">'[1]IV. Table 16 (cont.)'!$AZ$33</definedName>
    <definedName name="tchrs_tesdanatlquali_ict_animation_nc1">'[1]IV. Table 16 (cont.)'!$AF$33</definedName>
    <definedName name="tchrs_tesdanatlquali_ict_animation_nc2">'[1]IV. Table 16 (cont.)'!$AK$33</definedName>
    <definedName name="tchrs_tesdanatlquali_ict_animation_nc3">'[1]IV. Table 16 (cont.)'!$AP$33</definedName>
    <definedName name="tchrs_tesdanatlquali_ict_animation_nc4">'[1]IV. Table 16 (cont.)'!$AU$33</definedName>
    <definedName name="tchrs_tesdanatlquali_ict_animation_trainmethod1">'[1]IV. Table 16 (cont.)'!$BE$33</definedName>
    <definedName name="tchrs_tesdanatlquali_ict_animation_trainmethod2">'[1]IV. Table 16 (cont.)'!$BJ$33</definedName>
    <definedName name="tchrs_tesdanatlquali_ict_broadbandinst_diploma">'[1]IV. Table 16 (cont.)'!$AZ$34</definedName>
    <definedName name="tchrs_tesdanatlquali_ict_broadbandinst_nc1">'[1]IV. Table 16 (cont.)'!$AF$34</definedName>
    <definedName name="tchrs_tesdanatlquali_ict_broadbandinst_nc2">'[1]IV. Table 16 (cont.)'!$AK$34</definedName>
    <definedName name="tchrs_tesdanatlquali_ict_broadbandinst_nc3">'[1]IV. Table 16 (cont.)'!$AP$34</definedName>
    <definedName name="tchrs_tesdanatlquali_ict_broadbandinst_nc4">'[1]IV. Table 16 (cont.)'!$AU$34</definedName>
    <definedName name="tchrs_tesdanatlquali_ict_broadbandinst_trainmethod1">'[1]IV. Table 16 (cont.)'!$BE$34</definedName>
    <definedName name="tchrs_tesdanatlquali_ict_broadbandinst_trainmethod2">'[1]IV. Table 16 (cont.)'!$BJ$34</definedName>
    <definedName name="tchrs_tesdanatlquali_ict_comphardwaresrvcing_diploma">'[1]IV. Table 16 (cont.)'!$AZ$35</definedName>
    <definedName name="tchrs_tesdanatlquali_ict_comphardwaresrvcing_nc1">'[1]IV. Table 16 (cont.)'!$AF$35</definedName>
    <definedName name="tchrs_tesdanatlquali_ict_comphardwaresrvcing_nc2">'[1]IV. Table 16 (cont.)'!$AK$35</definedName>
    <definedName name="tchrs_tesdanatlquali_ict_comphardwaresrvcing_nc3">'[1]IV. Table 16 (cont.)'!$AP$35</definedName>
    <definedName name="tchrs_tesdanatlquali_ict_comphardwaresrvcing_nc4">'[1]IV. Table 16 (cont.)'!$AU$35</definedName>
    <definedName name="tchrs_tesdanatlquali_ict_comphardwaresrvcing_trainmethod1">'[1]IV. Table 16 (cont.)'!$BE$35</definedName>
    <definedName name="tchrs_tesdanatlquali_ict_comphardwaresrvcing_trainmethod2">'[1]IV. Table 16 (cont.)'!$BJ$35</definedName>
    <definedName name="tchrs_tesdanatlquali_ict_compprogramnciv_diploma">'[1]IV. Table 16 (cont.)'!$AZ$36</definedName>
    <definedName name="tchrs_tesdanatlquali_ict_compprogramnciv_nc1">'[1]IV. Table 16 (cont.)'!$AF$36</definedName>
    <definedName name="tchrs_tesdanatlquali_ict_compprogramnciv_nc2">'[1]IV. Table 16 (cont.)'!$AK$36</definedName>
    <definedName name="tchrs_tesdanatlquali_ict_compprogramnciv_nc3">'[1]IV. Table 16 (cont.)'!$AP$36</definedName>
    <definedName name="tchrs_tesdanatlquali_ict_compprogramnciv_nc4">'[1]IV. Table 16 (cont.)'!$AU$36</definedName>
    <definedName name="tchrs_tesdanatlquali_ict_compprogramnciv_trainmethod1">'[1]IV. Table 16 (cont.)'!$BE$36</definedName>
    <definedName name="tchrs_tesdanatlquali_ict_compprogramnciv_trainmethod2">'[1]IV. Table 16 (cont.)'!$BJ$36</definedName>
    <definedName name="tchrs_tesdanatlquali_ict_conttactservices_diploma">'[1]IV. Table 16 (cont.)'!$AZ$37</definedName>
    <definedName name="tchrs_tesdanatlquali_ict_conttactservices_nc1">'[1]IV. Table 16 (cont.)'!$AF$37</definedName>
    <definedName name="tchrs_tesdanatlquali_ict_conttactservices_nc2">'[1]IV. Table 16 (cont.)'!$AK$37</definedName>
    <definedName name="tchrs_tesdanatlquali_ict_conttactservices_nc3">'[1]IV. Table 16 (cont.)'!$AP$37</definedName>
    <definedName name="tchrs_tesdanatlquali_ict_conttactservices_nc4">'[1]IV. Table 16 (cont.)'!$AU$37</definedName>
    <definedName name="tchrs_tesdanatlquali_ict_conttactservices_trainmethod1">'[1]IV. Table 16 (cont.)'!$BE$37</definedName>
    <definedName name="tchrs_tesdanatlquali_ict_conttactservices_trainmethod2">'[1]IV. Table 16 (cont.)'!$BJ$37</definedName>
    <definedName name="tchrs_tesdanatlquali_ict_illustration_diploma">'[1]IV. Table 16 (cont.)'!$AZ$38</definedName>
    <definedName name="tchrs_tesdanatlquali_ict_illustration_nc1">'[1]IV. Table 16 (cont.)'!$AF$38</definedName>
    <definedName name="tchrs_tesdanatlquali_ict_illustration_nc2">'[1]IV. Table 16 (cont.)'!$AK$38</definedName>
    <definedName name="tchrs_tesdanatlquali_ict_illustration_nc3">'[1]IV. Table 16 (cont.)'!$AP$38</definedName>
    <definedName name="tchrs_tesdanatlquali_ict_illustration_nc4">'[1]IV. Table 16 (cont.)'!$AU$38</definedName>
    <definedName name="tchrs_tesdanatlquali_ict_illustration_trainmethod1">'[1]IV. Table 16 (cont.)'!$BE$38</definedName>
    <definedName name="tchrs_tesdanatlquali_ict_illustration_trainmethod2">'[1]IV. Table 16 (cont.)'!$BJ$38</definedName>
    <definedName name="tchrs_tesdanatlquali_ict_medtranscription_diploma">'[1]IV. Table 16 (cont.)'!$AZ$39</definedName>
    <definedName name="tchrs_tesdanatlquali_ict_medtranscription_nc1">'[1]IV. Table 16 (cont.)'!$AF$39</definedName>
    <definedName name="tchrs_tesdanatlquali_ict_medtranscription_nc2">'[1]IV. Table 16 (cont.)'!$AK$39</definedName>
    <definedName name="tchrs_tesdanatlquali_ict_medtranscription_nc3">'[1]IV. Table 16 (cont.)'!$AP$39</definedName>
    <definedName name="tchrs_tesdanatlquali_ict_medtranscription_nc4">'[1]IV. Table 16 (cont.)'!$AU$39</definedName>
    <definedName name="tchrs_tesdanatlquali_ict_medtranscription_trainmethod1">'[1]IV. Table 16 (cont.)'!$BE$39</definedName>
    <definedName name="tchrs_tesdanatlquali_ict_medtranscription_trainmethod2">'[1]IV. Table 16 (cont.)'!$BJ$39</definedName>
    <definedName name="tchrs_tesdanatlquali_ict_techdrafting_diploma">'[1]IV. Table 16 (cont.)'!$AZ$40</definedName>
    <definedName name="tchrs_tesdanatlquali_ict_techdrafting_nc1">'[1]IV. Table 16 (cont.)'!$AF$40</definedName>
    <definedName name="tchrs_tesdanatlquali_ict_techdrafting_nc2">'[1]IV. Table 16 (cont.)'!$AK$40</definedName>
    <definedName name="tchrs_tesdanatlquali_ict_techdrafting_nc3">'[1]IV. Table 16 (cont.)'!$AP$40</definedName>
    <definedName name="tchrs_tesdanatlquali_ict_techdrafting_nc4">'[1]IV. Table 16 (cont.)'!$AU$40</definedName>
    <definedName name="tchrs_tesdanatlquali_ict_techdrafting_trainmethod1">'[1]IV. Table 16 (cont.)'!$BE$40</definedName>
    <definedName name="tchrs_tesdanatlquali_ict_techdrafting_trainmethod2">'[1]IV. Table 16 (cont.)'!$BJ$40</definedName>
    <definedName name="tchrs_tesdanatlquali_ict_telcomospinst_diploma">'[1]IV. Table 16 (cont.)'!$AZ$42</definedName>
    <definedName name="tchrs_tesdanatlquali_ict_telcomospinst_nc1">'[1]IV. Table 16 (cont.)'!$AF$42</definedName>
    <definedName name="tchrs_tesdanatlquali_ict_telcomospinst_nc2">'[1]IV. Table 16 (cont.)'!$AK$42</definedName>
    <definedName name="tchrs_tesdanatlquali_ict_telcomospinst_nc3">'[1]IV. Table 16 (cont.)'!$AP$42</definedName>
    <definedName name="tchrs_tesdanatlquali_ict_telcomospinst_nc4">'[1]IV. Table 16 (cont.)'!$AU$42</definedName>
    <definedName name="tchrs_tesdanatlquali_ict_telcomospinst_trainmethod1">'[1]IV. Table 16 (cont.)'!$BE$42</definedName>
    <definedName name="tchrs_tesdanatlquali_ict_telcomospinst_trainmethod2">'[1]IV. Table 16 (cont.)'!$BJ$42</definedName>
    <definedName name="tchrs_tesdanatlquali_ict_telcomosppotsndsl_diploma">'[1]IV. Table 16 (cont.)'!$AZ$41</definedName>
    <definedName name="tchrs_tesdanatlquali_ict_telcomosppotsndsl_nc1">'[1]IV. Table 16 (cont.)'!$AF$41</definedName>
    <definedName name="tchrs_tesdanatlquali_ict_telcomosppotsndsl_nc2">'[1]IV. Table 16 (cont.)'!$AK$41</definedName>
    <definedName name="tchrs_tesdanatlquali_ict_telcomosppotsndsl_nc3">'[1]IV. Table 16 (cont.)'!$AP$41</definedName>
    <definedName name="tchrs_tesdanatlquali_ict_telcomosppotsndsl_nc4">'[1]IV. Table 16 (cont.)'!$AU$41</definedName>
    <definedName name="tchrs_tesdanatlquali_ict_telcomosppotsndsl_trainmethod1">'[1]IV. Table 16 (cont.)'!$BE$41</definedName>
    <definedName name="tchrs_tesdanatlquali_ict_telcomosppotsndsl_trainmethod2">'[1]IV. Table 16 (cont.)'!$BJ$41</definedName>
    <definedName name="tchrs_tesdanatlquali_indus_autoservicing_diploma">'[1]IV. Table 16 (cont.)'!$AZ$10</definedName>
    <definedName name="tchrs_tesdanatlquali_indus_autoservicing_nc1">'[1]IV. Table 16 (cont.)'!$AF$10</definedName>
    <definedName name="tchrs_tesdanatlquali_indus_autoservicing_nc2">'[1]IV. Table 16 (cont.)'!$AK$10</definedName>
    <definedName name="tchrs_tesdanatlquali_indus_autoservicing_nc3">'[1]IV. Table 16 (cont.)'!$AP$10</definedName>
    <definedName name="tchrs_tesdanatlquali_indus_autoservicing_nc4">'[1]IV. Table 16 (cont.)'!$AU$10</definedName>
    <definedName name="tchrs_tesdanatlquali_indus_autoservicing_trainmethod1">'[1]IV. Table 16 (cont.)'!$BE$10</definedName>
    <definedName name="tchrs_tesdanatlquali_indus_autoservicing_trainmethod2">'[1]IV. Table 16 (cont.)'!$BJ$10</definedName>
    <definedName name="tchrs_tesdanatlquali_indus_carpentry_diploma">'[1]IV. Table 16 (cont.)'!$AZ$11</definedName>
    <definedName name="tchrs_tesdanatlquali_indus_carpentry_nc1">'[1]IV. Table 16 (cont.)'!$AF$11</definedName>
    <definedName name="tchrs_tesdanatlquali_indus_carpentry_nc2">'[1]IV. Table 16 (cont.)'!$AK$11</definedName>
    <definedName name="tchrs_tesdanatlquali_indus_carpentry_nc3">'[1]IV. Table 16 (cont.)'!$AP$11</definedName>
    <definedName name="tchrs_tesdanatlquali_indus_carpentry_nc4">'[1]IV. Table 16 (cont.)'!$AU$11</definedName>
    <definedName name="tchrs_tesdanatlquali_indus_carpentry_trainmethod1">'[1]IV. Table 16 (cont.)'!$BE$11</definedName>
    <definedName name="tchrs_tesdanatlquali_indus_carpentry_trainmethod2">'[1]IV. Table 16 (cont.)'!$BJ$11</definedName>
    <definedName name="tchrs_tesdanatlquali_indus_conselecsrvcng_diploma">'[1]IV. Table 16 (cont.)'!$AZ$13</definedName>
    <definedName name="tchrs_tesdanatlquali_indus_conselecsrvcng_nc1">'[1]IV. Table 16 (cont.)'!$AF$13</definedName>
    <definedName name="tchrs_tesdanatlquali_indus_conselecsrvcng_nc2">'[1]IV. Table 16 (cont.)'!$AK$13</definedName>
    <definedName name="tchrs_tesdanatlquali_indus_conselecsrvcng_nc3">'[1]IV. Table 16 (cont.)'!$AP$13</definedName>
    <definedName name="tchrs_tesdanatlquali_indus_conselecsrvcng_nc4">'[1]IV. Table 16 (cont.)'!$AU$13</definedName>
    <definedName name="tchrs_tesdanatlquali_indus_conselecsrvcng_trainmethod1">'[1]IV. Table 16 (cont.)'!$BE$13</definedName>
    <definedName name="tchrs_tesdanatlquali_indus_conselecsrvcng_trainmethod2">'[1]IV. Table 16 (cont.)'!$BJ$13</definedName>
    <definedName name="tchrs_tesdanatlquali_indus_constpainting_diploma">'[1]IV. Table 16 (cont.)'!$AZ$12</definedName>
    <definedName name="tchrs_tesdanatlquali_indus_constpainting_nc1">'[1]IV. Table 16 (cont.)'!$AF$12</definedName>
    <definedName name="tchrs_tesdanatlquali_indus_constpainting_nc2">'[1]IV. Table 16 (cont.)'!$AK$12</definedName>
    <definedName name="tchrs_tesdanatlquali_indus_constpainting_nc3">'[1]IV. Table 16 (cont.)'!$AP$12</definedName>
    <definedName name="tchrs_tesdanatlquali_indus_constpainting_nc4">'[1]IV. Table 16 (cont.)'!$AU$12</definedName>
    <definedName name="tchrs_tesdanatlquali_indus_constpainting_trainmethod1">'[1]IV. Table 16 (cont.)'!$BE$12</definedName>
    <definedName name="tchrs_tesdanatlquali_indus_constpainting_trainmethod2">'[1]IV. Table 16 (cont.)'!$BJ$12</definedName>
    <definedName name="tchrs_tesdanatlquali_indus_domarcservicing_diploma">'[1]IV. Table 16 (cont.)'!$AZ$14</definedName>
    <definedName name="tchrs_tesdanatlquali_indus_domarcservicing_nc1">'[1]IV. Table 16 (cont.)'!$AF$14</definedName>
    <definedName name="tchrs_tesdanatlquali_indus_domarcservicing_nc2">'[1]IV. Table 16 (cont.)'!$AK$14</definedName>
    <definedName name="tchrs_tesdanatlquali_indus_domarcservicing_nc3">'[1]IV. Table 16 (cont.)'!$AP$14</definedName>
    <definedName name="tchrs_tesdanatlquali_indus_domarcservicing_nc4">'[1]IV. Table 16 (cont.)'!$AU$14</definedName>
    <definedName name="tchrs_tesdanatlquali_indus_domarcservicing_trainmethod1">'[1]IV. Table 16 (cont.)'!$BE$14</definedName>
    <definedName name="tchrs_tesdanatlquali_indus_domarcservicing_trainmethod2">'[1]IV. Table 16 (cont.)'!$BJ$14</definedName>
    <definedName name="tchrs_tesdanatlquali_indus_driving_diploma">'[1]IV. Table 16 (cont.)'!$AZ$15</definedName>
    <definedName name="tchrs_tesdanatlquali_indus_driving_nc1">'[1]IV. Table 16 (cont.)'!$AF$15</definedName>
    <definedName name="tchrs_tesdanatlquali_indus_driving_nc2">'[1]IV. Table 16 (cont.)'!$AK$15</definedName>
    <definedName name="tchrs_tesdanatlquali_indus_driving_nc3">'[1]IV. Table 16 (cont.)'!$AP$15</definedName>
    <definedName name="tchrs_tesdanatlquali_indus_driving_nc4">'[1]IV. Table 16 (cont.)'!$AU$15</definedName>
    <definedName name="tchrs_tesdanatlquali_indus_driving_trainmethod1">'[1]IV. Table 16 (cont.)'!$BE$15</definedName>
    <definedName name="tchrs_tesdanatlquali_indus_driving_trainmethod2">'[1]IV. Table 16 (cont.)'!$BJ$15</definedName>
    <definedName name="tchrs_tesdanatlquali_indus_electricinst_diploma">'[1]IV. Table 16 (cont.)'!$AZ$18</definedName>
    <definedName name="tchrs_tesdanatlquali_indus_electricinst_nc1">'[1]IV. Table 16 (cont.)'!$AF$18</definedName>
    <definedName name="tchrs_tesdanatlquali_indus_electricinst_nc2">'[1]IV. Table 16 (cont.)'!$AK$18</definedName>
    <definedName name="tchrs_tesdanatlquali_indus_electricinst_nc3">'[1]IV. Table 16 (cont.)'!$AP$18</definedName>
    <definedName name="tchrs_tesdanatlquali_indus_electricinst_nc4">'[1]IV. Table 16 (cont.)'!$AU$18</definedName>
    <definedName name="tchrs_tesdanatlquali_indus_electricinst_trainmethod1">'[1]IV. Table 16 (cont.)'!$BE$18</definedName>
    <definedName name="tchrs_tesdanatlquali_indus_electricinst_trainmethod2">'[1]IV. Table 16 (cont.)'!$BJ$18</definedName>
    <definedName name="tchrs_tesdanatlquali_indus_electricpower_diploma">'[1]IV. Table 16 (cont.)'!$AZ$16</definedName>
    <definedName name="tchrs_tesdanatlquali_indus_electricpower_nc1">'[1]IV. Table 16 (cont.)'!$AF$16</definedName>
    <definedName name="tchrs_tesdanatlquali_indus_electricpower_nc2">'[1]IV. Table 16 (cont.)'!$AK$16</definedName>
    <definedName name="tchrs_tesdanatlquali_indus_electricpower_nc3">'[1]IV. Table 16 (cont.)'!$AP$16</definedName>
    <definedName name="tchrs_tesdanatlquali_indus_electricpower_nc4">'[1]IV. Table 16 (cont.)'!$AU$16</definedName>
    <definedName name="tchrs_tesdanatlquali_indus_electricpower_trainmethod1">'[1]IV. Table 16 (cont.)'!$BE$16</definedName>
    <definedName name="tchrs_tesdanatlquali_indus_electricpower_trainmethod2">'[1]IV. Table 16 (cont.)'!$BJ$16</definedName>
    <definedName name="tchrs_tesdanatlquali_indus_electroprod_diploma">'[1]IV. Table 16 (cont.)'!$AZ$17</definedName>
    <definedName name="tchrs_tesdanatlquali_indus_electroprod_nc1">'[1]IV. Table 16 (cont.)'!$AF$17</definedName>
    <definedName name="tchrs_tesdanatlquali_indus_electroprod_nc2">'[1]IV. Table 16 (cont.)'!$AK$17</definedName>
    <definedName name="tchrs_tesdanatlquali_indus_electroprod_nc3">'[1]IV. Table 16 (cont.)'!$AP$17</definedName>
    <definedName name="tchrs_tesdanatlquali_indus_electroprod_nc4">'[1]IV. Table 16 (cont.)'!$AU$17</definedName>
    <definedName name="tchrs_tesdanatlquali_indus_electroprod_trainmethod1">'[1]IV. Table 16 (cont.)'!$BE$17</definedName>
    <definedName name="tchrs_tesdanatlquali_indus_electroprod_trainmethod2">'[1]IV. Table 16 (cont.)'!$BJ$17</definedName>
    <definedName name="tchrs_tesdanatlquali_indus_furnituremkng_diploma">'[1]IV. Table 16 (cont.)'!$AZ$19</definedName>
    <definedName name="tchrs_tesdanatlquali_indus_furnituremkng_nc1">'[1]IV. Table 16 (cont.)'!$AF$19</definedName>
    <definedName name="tchrs_tesdanatlquali_indus_furnituremkng_nc2">'[1]IV. Table 16 (cont.)'!$AK$19</definedName>
    <definedName name="tchrs_tesdanatlquali_indus_furnituremkng_nc3">'[1]IV. Table 16 (cont.)'!$AP$19</definedName>
    <definedName name="tchrs_tesdanatlquali_indus_furnituremkng_nc4">'[1]IV. Table 16 (cont.)'!$AU$19</definedName>
    <definedName name="tchrs_tesdanatlquali_indus_furnituremkng_trainmethod1">'[1]IV. Table 16 (cont.)'!$BE$19</definedName>
    <definedName name="tchrs_tesdanatlquali_indus_furnituremkng_trainmethod2">'[1]IV. Table 16 (cont.)'!$BJ$19</definedName>
    <definedName name="tchrs_tesdanatlquali_indus_gmaw_diploma">'[1]IV. Table 16 (cont.)'!$AZ$21</definedName>
    <definedName name="tchrs_tesdanatlquali_indus_gmaw_nc1">'[1]IV. Table 16 (cont.)'!$AF$21</definedName>
    <definedName name="tchrs_tesdanatlquali_indus_gmaw_nc2">'[1]IV. Table 16 (cont.)'!$AK$21</definedName>
    <definedName name="tchrs_tesdanatlquali_indus_gmaw_nc3">'[1]IV. Table 16 (cont.)'!$AP$21</definedName>
    <definedName name="tchrs_tesdanatlquali_indus_gmaw_nc4">'[1]IV. Table 16 (cont.)'!$AU$21</definedName>
    <definedName name="tchrs_tesdanatlquali_indus_gmaw_trainmethod1">'[1]IV. Table 16 (cont.)'!$BE$21</definedName>
    <definedName name="tchrs_tesdanatlquali_indus_gmaw_trainmethod2">'[1]IV. Table 16 (cont.)'!$BJ$21</definedName>
    <definedName name="tchrs_tesdanatlquali_indus_gtaw_diploma">'[1]IV. Table 16 (cont.)'!$AZ$22</definedName>
    <definedName name="tchrs_tesdanatlquali_indus_gtaw_nc1">'[1]IV. Table 16 (cont.)'!$AF$22</definedName>
    <definedName name="tchrs_tesdanatlquali_indus_gtaw_nc2">'[1]IV. Table 16 (cont.)'!$AK$22</definedName>
    <definedName name="tchrs_tesdanatlquali_indus_gtaw_nc3">'[1]IV. Table 16 (cont.)'!$AP$22</definedName>
    <definedName name="tchrs_tesdanatlquali_indus_gtaw_nc4">'[1]IV. Table 16 (cont.)'!$AU$22</definedName>
    <definedName name="tchrs_tesdanatlquali_indus_gtaw_trainmethod1">'[1]IV. Table 16 (cont.)'!$BE$22</definedName>
    <definedName name="tchrs_tesdanatlquali_indus_gtaw_trainmethod2">'[1]IV. Table 16 (cont.)'!$BJ$22</definedName>
    <definedName name="tchrs_tesdanatlquali_indus_instncontrol_diploma">'[1]IV. Table 16 (cont.)'!$AZ$20</definedName>
    <definedName name="tchrs_tesdanatlquali_indus_instncontrol_nc1">'[1]IV. Table 16 (cont.)'!$AF$20</definedName>
    <definedName name="tchrs_tesdanatlquali_indus_instncontrol_nc2">'[1]IV. Table 16 (cont.)'!$AK$20</definedName>
    <definedName name="tchrs_tesdanatlquali_indus_instncontrol_nc3">'[1]IV. Table 16 (cont.)'!$AP$20</definedName>
    <definedName name="tchrs_tesdanatlquali_indus_instncontrol_nc4">'[1]IV. Table 16 (cont.)'!$AU$20</definedName>
    <definedName name="tchrs_tesdanatlquali_indus_instncontrol_trainmethod1">'[1]IV. Table 16 (cont.)'!$BE$20</definedName>
    <definedName name="tchrs_tesdanatlquali_indus_instncontrol_trainmethod2">'[1]IV. Table 16 (cont.)'!$BJ$20</definedName>
    <definedName name="tchrs_tesdanatlquali_indus_machining_diploma">'[1]IV. Table 16 (cont.)'!$AZ$23</definedName>
    <definedName name="tchrs_tesdanatlquali_indus_machining_nc1">'[1]IV. Table 16 (cont.)'!$AF$23</definedName>
    <definedName name="tchrs_tesdanatlquali_indus_machining_nc2">'[1]IV. Table 16 (cont.)'!$AK$23</definedName>
    <definedName name="tchrs_tesdanatlquali_indus_machining_nc3">'[1]IV. Table 16 (cont.)'!$AP$23</definedName>
    <definedName name="tchrs_tesdanatlquali_indus_machining_nc4">'[1]IV. Table 16 (cont.)'!$AU$23</definedName>
    <definedName name="tchrs_tesdanatlquali_indus_machining_trainmethod1">'[1]IV. Table 16 (cont.)'!$BE$23</definedName>
    <definedName name="tchrs_tesdanatlquali_indus_machining_trainmethod2">'[1]IV. Table 16 (cont.)'!$BJ$23</definedName>
    <definedName name="tchrs_tesdanatlquali_indus_masonry_diploma">'[1]IV. Table 16 (cont.)'!$AZ$24</definedName>
    <definedName name="tchrs_tesdanatlquali_indus_masonry_nc1">'[1]IV. Table 16 (cont.)'!$AF$24</definedName>
    <definedName name="tchrs_tesdanatlquali_indus_masonry_nc2">'[1]IV. Table 16 (cont.)'!$AK$24</definedName>
    <definedName name="tchrs_tesdanatlquali_indus_masonry_nc3">'[1]IV. Table 16 (cont.)'!$AP$24</definedName>
    <definedName name="tchrs_tesdanatlquali_indus_masonry_nc4">'[1]IV. Table 16 (cont.)'!$AU$24</definedName>
    <definedName name="tchrs_tesdanatlquali_indus_masonry_trainmethod1">'[1]IV. Table 16 (cont.)'!$BE$24</definedName>
    <definedName name="tchrs_tesdanatlquali_indus_masonry_trainmethod2">'[1]IV. Table 16 (cont.)'!$BJ$24</definedName>
    <definedName name="tchrs_tesdanatlquali_indus_mechservicing_diploma">'[1]IV. Table 16 (cont.)'!$AZ$25</definedName>
    <definedName name="tchrs_tesdanatlquali_indus_mechservicing_nc1">'[1]IV. Table 16 (cont.)'!$AF$25</definedName>
    <definedName name="tchrs_tesdanatlquali_indus_mechservicing_nc2">'[1]IV. Table 16 (cont.)'!$AK$25</definedName>
    <definedName name="tchrs_tesdanatlquali_indus_mechservicing_nc3">'[1]IV. Table 16 (cont.)'!$AP$25</definedName>
    <definedName name="tchrs_tesdanatlquali_indus_mechservicing_nc4">'[1]IV. Table 16 (cont.)'!$AU$25</definedName>
    <definedName name="tchrs_tesdanatlquali_indus_mechservicing_trainmethod1">'[1]IV. Table 16 (cont.)'!$BE$25</definedName>
    <definedName name="tchrs_tesdanatlquali_indus_mechservicing_trainmethod2">'[1]IV. Table 16 (cont.)'!$BJ$25</definedName>
    <definedName name="tchrs_tesdanatlquali_indus_motorcycleservicing_diploma">'[1]IV. Table 16 (cont.)'!$AZ$26</definedName>
    <definedName name="tchrs_tesdanatlquali_indus_motorcycleservicing_nc1">'[1]IV. Table 16 (cont.)'!$AF$26</definedName>
    <definedName name="tchrs_tesdanatlquali_indus_motorcycleservicing_nc2">'[1]IV. Table 16 (cont.)'!$AK$26</definedName>
    <definedName name="tchrs_tesdanatlquali_indus_motorcycleservicing_nc3">'[1]IV. Table 16 (cont.)'!$AP$26</definedName>
    <definedName name="tchrs_tesdanatlquali_indus_motorcycleservicing_nc4">'[1]IV. Table 16 (cont.)'!$AU$26</definedName>
    <definedName name="tchrs_tesdanatlquali_indus_motorcycleservicing_trainmethod1">'[1]IV. Table 16 (cont.)'!$BE$26</definedName>
    <definedName name="tchrs_tesdanatlquali_indus_motorcycleservicing_trainmethod2">'[1]IV. Table 16 (cont.)'!$BJ$26</definedName>
    <definedName name="tchrs_tesdanatlquali_indus_pacuncre_diploma">'[1]IV. Table 16 (cont.)'!$AZ$28</definedName>
    <definedName name="tchrs_tesdanatlquali_indus_pacuncre_nc1">'[1]IV. Table 16 (cont.)'!$AF$28</definedName>
    <definedName name="tchrs_tesdanatlquali_indus_pacuncre_nc2">'[1]IV. Table 16 (cont.)'!$AK$28</definedName>
    <definedName name="tchrs_tesdanatlquali_indus_pacuncre_nc3">'[1]IV. Table 16 (cont.)'!$AP$28</definedName>
    <definedName name="tchrs_tesdanatlquali_indus_pacuncre_nc4">'[1]IV. Table 16 (cont.)'!$AU$28</definedName>
    <definedName name="tchrs_tesdanatlquali_indus_pacuncre_trainmethod1">'[1]IV. Table 16 (cont.)'!$BE$28</definedName>
    <definedName name="tchrs_tesdanatlquali_indus_pacuncre_trainmethod2">'[1]IV. Table 16 (cont.)'!$BJ$28</definedName>
    <definedName name="tchrs_tesdanatlquali_indus_plumbing_diploma">'[1]IV. Table 16 (cont.)'!$AZ$27</definedName>
    <definedName name="tchrs_tesdanatlquali_indus_plumbing_nc1">'[1]IV. Table 16 (cont.)'!$AF$27</definedName>
    <definedName name="tchrs_tesdanatlquali_indus_plumbing_nc2">'[1]IV. Table 16 (cont.)'!$AK$27</definedName>
    <definedName name="tchrs_tesdanatlquali_indus_plumbing_nc3">'[1]IV. Table 16 (cont.)'!$AP$27</definedName>
    <definedName name="tchrs_tesdanatlquali_indus_plumbing_nc4">'[1]IV. Table 16 (cont.)'!$AU$27</definedName>
    <definedName name="tchrs_tesdanatlquali_indus_plumbing_trainmethod1">'[1]IV. Table 16 (cont.)'!$BE$27</definedName>
    <definedName name="tchrs_tesdanatlquali_indus_plumbing_trainmethod2">'[1]IV. Table 16 (cont.)'!$BJ$27</definedName>
    <definedName name="tchrs_tesdanatlquali_indus_shieldedwelding_diploma">'[1]IV. Table 16 (cont.)'!$AZ$29</definedName>
    <definedName name="tchrs_tesdanatlquali_indus_shieldedwelding_nc1">'[1]IV. Table 16 (cont.)'!$AF$29</definedName>
    <definedName name="tchrs_tesdanatlquali_indus_shieldedwelding_nc2">'[1]IV. Table 16 (cont.)'!$AK$29</definedName>
    <definedName name="tchrs_tesdanatlquali_indus_shieldedwelding_nc3">'[1]IV. Table 16 (cont.)'!$AP$29</definedName>
    <definedName name="tchrs_tesdanatlquali_indus_shieldedwelding_nc4">'[1]IV. Table 16 (cont.)'!$AU$29</definedName>
    <definedName name="tchrs_tesdanatlquali_indus_shieldedwelding_trainmethod1">'[1]IV. Table 16 (cont.)'!$BE$29</definedName>
    <definedName name="tchrs_tesdanatlquali_indus_shieldedwelding_trainmethod2">'[1]IV. Table 16 (cont.)'!$BJ$29</definedName>
    <definedName name="tchrs_tesdanatlquali_indus_tilesetting_diploma">'[1]IV. Table 16 (cont.)'!$AZ$30</definedName>
    <definedName name="tchrs_tesdanatlquali_indus_tilesetting_nc1">'[1]IV. Table 16 (cont.)'!$AF$30</definedName>
    <definedName name="tchrs_tesdanatlquali_indus_tilesetting_nc2">'[1]IV. Table 16 (cont.)'!$AK$30</definedName>
    <definedName name="tchrs_tesdanatlquali_indus_tilesetting_nc3">'[1]IV. Table 16 (cont.)'!$AP$30</definedName>
    <definedName name="tchrs_tesdanatlquali_indus_tilesetting_nc4">'[1]IV. Table 16 (cont.)'!$AU$30</definedName>
    <definedName name="tchrs_tesdanatlquali_indus_tilesetting_trainmethod1">'[1]IV. Table 16 (cont.)'!$BE$30</definedName>
    <definedName name="tchrs_tesdanatlquali_indus_tilesetting_trainmethod2">'[1]IV. Table 16 (cont.)'!$BJ$30</definedName>
    <definedName name="tchrs_tesdanatlquali_indus_translineinstmain_diploma">'[1]IV. Table 16 (cont.)'!$AZ$31</definedName>
    <definedName name="tchrs_tesdanatlquali_indus_translineinstmain_nc1">'[1]IV. Table 16 (cont.)'!$AF$31</definedName>
    <definedName name="tchrs_tesdanatlquali_indus_translineinstmain_nc2">'[1]IV. Table 16 (cont.)'!$AK$31</definedName>
    <definedName name="tchrs_tesdanatlquali_indus_translineinstmain_nc3">'[1]IV. Table 16 (cont.)'!$AP$31</definedName>
    <definedName name="tchrs_tesdanatlquali_indus_translineinstmain_nc4">'[1]IV. Table 16 (cont.)'!$AU$31</definedName>
    <definedName name="tchrs_tesdanatlquali_indus_translineinstmain_trainmethod1">'[1]IV. Table 16 (cont.)'!$BE$31</definedName>
    <definedName name="tchrs_tesdanatlquali_indus_translineinstmain_trainmethod2">'[1]IV. Table 16 (cont.)'!$BJ$31</definedName>
    <definedName name="tchrs_tesdanatlquali_tvl_enginewatch_diploma">'[1]IV. Table 16 (cont.)'!$AZ$45</definedName>
    <definedName name="tchrs_tesdanatlquali_tvl_enginewatch_nc1">'[1]IV. Table 16 (cont.)'!$AF$45</definedName>
    <definedName name="tchrs_tesdanatlquali_tvl_enginewatch_nc2">'[1]IV. Table 16 (cont.)'!$AK$45</definedName>
    <definedName name="tchrs_tesdanatlquali_tvl_enginewatch_nc3">'[1]IV. Table 16 (cont.)'!$AP$45</definedName>
    <definedName name="tchrs_tesdanatlquali_tvl_enginewatch_nc4">'[1]IV. Table 16 (cont.)'!$AU$45</definedName>
    <definedName name="tchrs_tesdanatlquali_tvl_enginewatch_trainmethod1">'[1]IV. Table 16 (cont.)'!$BE$45</definedName>
    <definedName name="tchrs_tesdanatlquali_tvl_enginewatch_trainmethod2">'[1]IV. Table 16 (cont.)'!$BJ$45</definedName>
    <definedName name="tchrs_tesdanatlquali_tvl_naviwatch_diploma">'[1]IV. Table 16 (cont.)'!$AZ$44</definedName>
    <definedName name="tchrs_tesdanatlquali_tvl_naviwatch_nc1">'[1]IV. Table 16 (cont.)'!$AF$44</definedName>
    <definedName name="tchrs_tesdanatlquali_tvl_naviwatch_nc2">'[1]IV. Table 16 (cont.)'!$AK$44</definedName>
    <definedName name="tchrs_tesdanatlquali_tvl_naviwatch_nc3">'[1]IV. Table 16 (cont.)'!$AP$44</definedName>
    <definedName name="tchrs_tesdanatlquali_tvl_naviwatch_nc4">'[1]IV. Table 16 (cont.)'!$AU$44</definedName>
    <definedName name="tchrs_tesdanatlquali_tvl_naviwatch_trainmethod1">'[1]IV. Table 16 (cont.)'!$BE$44</definedName>
    <definedName name="tchrs_tesdanatlquali_tvl_naviwatch_trainmethod2">'[1]IV. Table 16 (cont.)'!$BJ$44</definedName>
    <definedName name="tchrs_tesdanatlquali_tvl_safety_diploma">'[1]IV. Table 16 (cont.)'!$AZ$46</definedName>
    <definedName name="tchrs_tesdanatlquali_tvl_safety_nc1">'[1]IV. Table 16 (cont.)'!$AF$46</definedName>
    <definedName name="tchrs_tesdanatlquali_tvl_safety_nc2">'[1]IV. Table 16 (cont.)'!$AK$46</definedName>
    <definedName name="tchrs_tesdanatlquali_tvl_safety_nc3">'[1]IV. Table 16 (cont.)'!$AP$46</definedName>
    <definedName name="tchrs_tesdanatlquali_tvl_safety_nc4">'[1]IV. Table 16 (cont.)'!$AU$46</definedName>
    <definedName name="tchrs_tesdanatlquali_tvl_safety_trainmethod1">'[1]IV. Table 16 (cont.)'!$BE$46</definedName>
    <definedName name="tchrs_tesdanatlquali_tvl_safety_trainmethod2">'[1]IV. Table 16 (cont.)'!$BJ$46</definedName>
    <definedName name="tchrs_tesdanatlquali_tvl_shipcatering_diploma">'[1]IV. Table 16 (cont.)'!$AZ$47</definedName>
    <definedName name="tchrs_tesdanatlquali_tvl_shipcatering_diplomatrainmethod1">'[1]IV. Table 16 (cont.)'!$BE$47</definedName>
    <definedName name="tchrs_tesdanatlquali_tvl_shipcatering_diplomatrainmethod2">'[1]IV. Table 16 (cont.)'!$BJ$47</definedName>
    <definedName name="tchrs_tesdanatlquali_tvl_shipcatering_nc1">'[1]IV. Table 16 (cont.)'!$AF$47</definedName>
    <definedName name="tchrs_tesdanatlquali_tvl_shipcatering_nc2">'[1]IV. Table 16 (cont.)'!$AK$47</definedName>
    <definedName name="tchrs_tesdanatlquali_tvl_shipcatering_nc3">'[1]IV. Table 16 (cont.)'!$AP$47</definedName>
    <definedName name="tchrs_tesdanatlquali_tvl_shipcatering_nc4">'[1]IV. Table 16 (cont.)'!$AU$47</definedName>
    <definedName name="teach_grade_sex_count_once_f_g11">'[1]IV. Tables 10 &amp; 11.A'!$Z$26</definedName>
    <definedName name="teach_grade_sex_count_once_f_g12">'[1]IV. Tables 10 &amp; 11.A'!$Z$27</definedName>
    <definedName name="teach_grade_sex_count_once_m_g11">'[1]IV. Tables 10 &amp; 11.A'!$T$26</definedName>
    <definedName name="teach_grade_sex_count_once_m_g12">'[1]IV. Tables 10 &amp; 11.A'!$T$27</definedName>
    <definedName name="teach_local_fund_city">'[1]IV. Tables 7 &amp; 8'!$W$57</definedName>
    <definedName name="teach_local_fund_lgu">'[1]IV. Tables 7 &amp; 8'!$AC$57</definedName>
    <definedName name="teach_local_fund_provincial">'[1]IV. Tables 7 &amp; 8'!$Q$57</definedName>
    <definedName name="teach_local_fund_total">'[1]IV. Tables 7 &amp; 8'!$AI$57</definedName>
    <definedName name="teach_received_trainings_ai_grade1to6_f">'[1]IV. Tables 19 to 21'!$AC$13</definedName>
    <definedName name="teach_received_trainings_ai_grade1to6_m">'[1]IV. Tables 19 to 21'!$Y$13</definedName>
    <definedName name="teach_received_trainings_ai_kinder_f">'[1]IV. Tables 19 to 21'!$Q$13</definedName>
    <definedName name="teach_received_trainings_ai_kinder_m">'[1]IV. Tables 19 to 21'!$M$13</definedName>
    <definedName name="teach_received_trainings_hardware_grade1to6_f">'[1]IV. Tables 19 to 21'!$AC$12</definedName>
    <definedName name="teach_received_trainings_hardware_grade1to6_m">'[1]IV. Tables 19 to 21'!$Y$12</definedName>
    <definedName name="teach_received_trainings_hardware_kinder_f">'[1]IV. Tables 19 to 21'!$Q$12</definedName>
    <definedName name="teach_received_trainings_hardware_kinder_m">'[1]IV. Tables 19 to 21'!$M$12</definedName>
    <definedName name="teach_received_trainings_ictintegration_gr1to6_f">'[1]IV. Tables 19 to 21'!$AC$9</definedName>
    <definedName name="teach_received_trainings_ictintegration_gr1to6_m">'[1]IV. Tables 19 to 21'!$Y$9</definedName>
    <definedName name="teach_received_trainings_ictintegration_kinder_f">'[1]IV. Tables 19 to 21'!$Q$9</definedName>
    <definedName name="teach_received_trainings_ictintegration_kinder_m">'[1]IV. Tables 19 to 21'!$M$9</definedName>
    <definedName name="teach_received_trainings_ictliteracy_gr1to6_f">'[1]IV. Tables 19 to 21'!$AC$10</definedName>
    <definedName name="teach_received_trainings_ictliteracy_gr1to6_m">'[1]IV. Tables 19 to 21'!$Y$10</definedName>
    <definedName name="teach_received_trainings_ictliteracy_kinder_f">'[1]IV. Tables 19 to 21'!$Q$10</definedName>
    <definedName name="teach_received_trainings_ictliteracy_kinder_m">'[1]IV. Tables 19 to 21'!$M$10</definedName>
    <definedName name="teach_received_trainings_pedagogy_collaborative_gr1to6_f">'[1]IV. Tables 19 to 21'!$AC$35</definedName>
    <definedName name="teach_received_trainings_pedagogy_collaborative_gr1to6_m">'[1]IV. Tables 19 to 21'!$Y$35</definedName>
    <definedName name="teach_received_trainings_pedagogy_collaborative_k_f">'[1]IV. Tables 19 to 21'!$Q$35</definedName>
    <definedName name="teach_received_trainings_pedagogy_collaborative_k_m">'[1]IV. Tables 19 to 21'!$M$35</definedName>
    <definedName name="teach_received_trainings_pedagogy_constructivist_gr1to6_f">'[1]IV. Tables 19 to 21'!$AC$32</definedName>
    <definedName name="teach_received_trainings_pedagogy_constructivist_gr1to6_m">'[1]IV. Tables 19 to 21'!$Y$32</definedName>
    <definedName name="teach_received_trainings_pedagogy_constructivist_k_f">'[1]IV. Tables 19 to 21'!$Q$32</definedName>
    <definedName name="teach_received_trainings_pedagogy_constructivist_k_m">'[1]IV. Tables 19 to 21'!$M$32</definedName>
    <definedName name="teach_received_trainings_pedagogy_inclusiveeduc_gr1to6_f">'[1]IV. Tables 19 to 21'!$AC$37</definedName>
    <definedName name="teach_received_trainings_pedagogy_inclusiveeduc_gr1to6_m">'[1]IV. Tables 19 to 21'!$Y$37</definedName>
    <definedName name="teach_received_trainings_pedagogy_inclusiveeduc_k_f">'[1]IV. Tables 19 to 21'!$Q$37</definedName>
    <definedName name="teach_received_trainings_pedagogy_inclusiveeduc_k_m">'[1]IV. Tables 19 to 21'!$M$37</definedName>
    <definedName name="teach_received_trainings_pedagogy_inquirybased_gr1to6_f">'[1]IV. Tables 19 to 21'!$AC$33</definedName>
    <definedName name="teach_received_trainings_pedagogy_inquirybased_gr1to6_m">'[1]IV. Tables 19 to 21'!$Y$33</definedName>
    <definedName name="teach_received_trainings_pedagogy_inquirybased_k_f">'[1]IV. Tables 19 to 21'!$Q$33</definedName>
    <definedName name="teach_received_trainings_pedagogy_inquirybased_k_m">'[1]IV. Tables 19 to 21'!$M$33</definedName>
    <definedName name="teach_received_trainings_pedagogy_integrative_gr1to6_f">'[1]IV. Tables 19 to 21'!$AC$36</definedName>
    <definedName name="teach_received_trainings_pedagogy_integrative_gr1to6_m">'[1]IV. Tables 19 to 21'!$Y$36</definedName>
    <definedName name="teach_received_trainings_pedagogy_integrative_k_f">'[1]IV. Tables 19 to 21'!$Q$36</definedName>
    <definedName name="teach_received_trainings_pedagogy_integrative_k_m">'[1]IV. Tables 19 to 21'!$M$36</definedName>
    <definedName name="teach_received_trainings_pedagogy_reflective_gr1to6_f">'[1]IV. Tables 19 to 21'!$AC$34</definedName>
    <definedName name="teach_received_trainings_pedagogy_reflective_gr1to6_m">'[1]IV. Tables 19 to 21'!$Y$34</definedName>
    <definedName name="teach_received_trainings_pedagogy_reflective_k_f">'[1]IV. Tables 19 to 21'!$Q$34</definedName>
    <definedName name="teach_received_trainings_pedagogy_reflective_k_m">'[1]IV. Tables 19 to 21'!$M$34</definedName>
    <definedName name="teach_received_trainings_software_grade1to6_f">'[1]IV. Tables 19 to 21'!$AC$11</definedName>
    <definedName name="teach_received_trainings_software_grade1to6_m">'[1]IV. Tables 19 to 21'!$Y$11</definedName>
    <definedName name="teach_received_trainings_software_kinder_f">'[1]IV. Tables 19 to 21'!$Q$11</definedName>
    <definedName name="teach_received_trainings_software_kinder_m">'[1]IV. Tables 19 to 21'!$M$11</definedName>
    <definedName name="teach_train_ict_ai_f">'[1]IV. Tables 19 to 21'!$BA$13</definedName>
    <definedName name="teach_train_ict_ai_m">'[1]IV. Tables 19 to 21'!$AW$13</definedName>
    <definedName name="teach_train_ict_hw_f">'[1]IV. Tables 19 to 21'!$BA$12</definedName>
    <definedName name="teach_train_ict_hw_m">'[1]IV. Tables 19 to 21'!$AW$12</definedName>
    <definedName name="teach_train_ict_intg_f">'[1]IV. Tables 19 to 21'!$BA$9</definedName>
    <definedName name="teach_train_ict_intg_m">'[1]IV. Tables 19 to 21'!$AW$9</definedName>
    <definedName name="teach_train_ict_lit_f">'[1]IV. Tables 19 to 21'!$BA$10</definedName>
    <definedName name="teach_train_ict_lit_m">'[1]IV. Tables 19 to 21'!$AW$10</definedName>
    <definedName name="teach_train_ict_sw_f">'[1]IV. Tables 19 to 21'!$BA$11</definedName>
    <definedName name="teach_train_ict_sw_m">'[1]IV. Tables 19 to 21'!$AW$11</definedName>
    <definedName name="teach_train_ped_collab_f">'[1]IV. Tables 19 to 21'!$BA$35</definedName>
    <definedName name="teach_train_ped_collab_m">'[1]IV. Tables 19 to 21'!$AW$35</definedName>
    <definedName name="teach_train_ped_const_f">'[1]IV. Tables 19 to 21'!$BA$32</definedName>
    <definedName name="teach_train_ped_const_m">'[1]IV. Tables 19 to 21'!$AW$32</definedName>
    <definedName name="teach_train_ped_inc_educ_f">'[1]IV. Tables 19 to 21'!$BA$37</definedName>
    <definedName name="teach_train_ped_inc_educ_m">'[1]IV. Tables 19 to 21'!$AW$37</definedName>
    <definedName name="teach_train_ped_inq_based_f">'[1]IV. Tables 19 to 21'!$BA$33</definedName>
    <definedName name="teach_train_ped_inq_based_m">'[1]IV. Tables 19 to 21'!$AW$33</definedName>
    <definedName name="teach_train_ped_integ_f">'[1]IV. Tables 19 to 21'!$BA$36</definedName>
    <definedName name="teach_train_ped_integ_m">'[1]IV. Tables 19 to 21'!$AW$36</definedName>
    <definedName name="teach_train_ped_ref_f">'[1]IV. Tables 19 to 21'!$BA$34</definedName>
    <definedName name="teach_train_ped_ref_m">'[1]IV. Tables 19 to 21'!$AW$34</definedName>
    <definedName name="teachassgn_acad_arts_socsci_hums_f_g11">'[1]IV. Table 11.E'!$AN$19</definedName>
    <definedName name="teachassgn_acad_arts_socsci_hums_m_g11">'[1]IV. Table 11.E'!$AH$19</definedName>
    <definedName name="teachassgn_acad_business_entrep_f_g11">'[1]IV. Table 11.E'!$AN$21</definedName>
    <definedName name="teachassgn_acad_business_entrep_m_g11">'[1]IV. Table 11.E'!$AH$21</definedName>
    <definedName name="teachassgn_acad_field_exp_f_g11">'[1]IV. Table 11.E'!$AN$23</definedName>
    <definedName name="teachassgn_acad_field_exp_m_g11">'[1]IV. Table 11.E'!$AH$23</definedName>
    <definedName name="teachassgn_acad_sports_health_welln_f_g11">'[1]IV. Table 11.E'!$AN$22</definedName>
    <definedName name="teachassgn_acad_sports_health_welln_m_g11">'[1]IV. Table 11.E'!$AH$22</definedName>
    <definedName name="teachassgn_acad_stem_f_g11">'[1]IV. Table 11.E'!$AN$20</definedName>
    <definedName name="teachassgn_acad_stem_m_g11">'[1]IV. Table 11.E'!$AH$20</definedName>
    <definedName name="teachassgn_com_media_f_g11">'[1]IV. Table 11.B to 11.D'!$AN$54</definedName>
    <definedName name="teachassgn_com_media_f_g12">'[1]IV. Table 11.B to 11.D'!$AW$54</definedName>
    <definedName name="teachassgn_com_media_m_g11">'[1]IV. Table 11.B to 11.D'!$AK$54</definedName>
    <definedName name="teachassgn_com_media_m_g12">'[1]IV. Table 11.B to 11.D'!$AT$54</definedName>
    <definedName name="teachassgn_core_eff_comm_f_g11">'[1]IV. Table 11.E'!$AN$11</definedName>
    <definedName name="teachassgn_core_eff_comm_m_g11">'[1]IV. Table 11.E'!$AH$11</definedName>
    <definedName name="teachassgn_core_gen_math_f_g11">'[1]IV. Table 11.E'!$AN$13</definedName>
    <definedName name="teachassgn_core_gen_math_m_g11">'[1]IV. Table 11.E'!$AH$13</definedName>
    <definedName name="teachassgn_core_gen_sci_f_g11">'[1]IV. Table 11.E'!$AN$14</definedName>
    <definedName name="teachassgn_core_gen_sci_m_g11">'[1]IV. Table 11.E'!$AH$14</definedName>
    <definedName name="teachassgn_core_kasaysayan_lipunan_pil_f_g11">'[1]IV. Table 11.E'!$AN$15</definedName>
    <definedName name="teachassgn_core_kasaysayan_lipunan_pil_m_g11">'[1]IV. Table 11.E'!$AH$15</definedName>
    <definedName name="teachassgn_core_life_career_skills_f_g11">'[1]IV. Table 11.E'!$AN$16</definedName>
    <definedName name="teachassgn_core_life_career_skills_m_g11">'[1]IV. Table 11.E'!$AH$16</definedName>
    <definedName name="teachassgn_core_mabisang_kom_f_g11">'[1]IV. Table 11.E'!$AN$12</definedName>
    <definedName name="teachassgn_core_mabisang_kom_m_g11">'[1]IV. Table 11.E'!$AH$12</definedName>
    <definedName name="teachassgn_disasterreadiness_f_g11">'[1]IV. Table 11.B to 11.D'!$AN$64</definedName>
    <definedName name="teachassgn_disasterreadiness_f_g12">'[1]IV. Table 11.B to 11.D'!$AW$64</definedName>
    <definedName name="teachassgn_disasterreadiness_m_g11">'[1]IV. Table 11.B to 11.D'!$AK$64</definedName>
    <definedName name="teachassgn_disasterreadiness_m_g12">'[1]IV. Table 11.B to 11.D'!$AT$64</definedName>
    <definedName name="teachassgn_hum_contemparts_f_g11">'[1]IV. Table 11.B to 11.D'!$AN$57</definedName>
    <definedName name="teachassgn_hum_contemparts_f_g12">'[1]IV. Table 11.B to 11.D'!$AW$57</definedName>
    <definedName name="teachassgn_hum_contemparts_m_g11">'[1]IV. Table 11.B to 11.D'!$AK$57</definedName>
    <definedName name="teachassgn_hum_contemparts_m_g12">'[1]IV. Table 11.B to 11.D'!$AT$57</definedName>
    <definedName name="teachassgn_hum_lit_f_g11">'[1]IV. Table 11.B to 11.D'!$AN$56</definedName>
    <definedName name="teachassgn_hum_lit_f_g12">'[1]IV. Table 11.B to 11.D'!$AW$56</definedName>
    <definedName name="teachassgn_hum_lit_m_g11">'[1]IV. Table 11.B to 11.D'!$AK$56</definedName>
    <definedName name="teachassgn_hum_lit_m_g12">'[1]IV. Table 11.B to 11.D'!$AT$56</definedName>
    <definedName name="teachassgn_lang_komatpanitikan_f_g11">'[1]IV. Table 11.B to 11.D'!$AN$45</definedName>
    <definedName name="teachassgn_lang_komatpanitikan_f_g12">'[1]IV. Table 11.B to 11.D'!$AW$45</definedName>
    <definedName name="teachassgn_lang_komatpanitikan_m_g11">'[1]IV. Table 11.B to 11.D'!$AK$45</definedName>
    <definedName name="teachassgn_lang_komatpanitikan_m_g12">'[1]IV. Table 11.B to 11.D'!$AT$45</definedName>
    <definedName name="teachassgn_lang_oralcom_f_g11">'[1]IV. Table 11.B to 11.D'!$AN$43</definedName>
    <definedName name="teachassgn_lang_oralcom_f_g12">'[1]IV. Table 11.B to 11.D'!$AW$43</definedName>
    <definedName name="teachassgn_lang_oralcom_m_g11">'[1]IV. Table 11.B to 11.D'!$AK$43</definedName>
    <definedName name="teachassgn_lang_oralcom_m_g12">'[1]IV. Table 11.B to 11.D'!$AT$43</definedName>
    <definedName name="teachassgn_lang_pagbasaatpagsusuri_f_g11">'[1]IV. Table 11.B to 11.D'!$AN$46</definedName>
    <definedName name="teachassgn_lang_pagbasaatpagsusuri_f_g12">'[1]IV. Table 11.B to 11.D'!$AW$46</definedName>
    <definedName name="teachassgn_lang_pagbasaatpagsusuri_m_g11">'[1]IV. Table 11.B to 11.D'!$AK$46</definedName>
    <definedName name="teachassgn_lang_pagbasaatpagsusuri_m_g12">'[1]IV. Table 11.B to 11.D'!$AT$46</definedName>
    <definedName name="teachassgn_lang_readnwrite_f_g11">'[1]IV. Table 11.B to 11.D'!$AN$44</definedName>
    <definedName name="teachassgn_lang_readnwrite_f_g12">'[1]IV. Table 11.B to 11.D'!$AW$44</definedName>
    <definedName name="teachassgn_lang_readnwrite_m_g11">'[1]IV. Table 11.B to 11.D'!$AK$44</definedName>
    <definedName name="teachassgn_lang_readnwrite_m_g12">'[1]IV. Table 11.B to 11.D'!$AT$44</definedName>
    <definedName name="teachassgn_math_genmath_f_g11">'[1]IV. Table 11.B to 11.D'!$AN$48</definedName>
    <definedName name="teachassgn_math_genmath_f_g12">'[1]IV. Table 11.B to 11.D'!$AW$48</definedName>
    <definedName name="teachassgn_math_genmath_m_g11">'[1]IV. Table 11.B to 11.D'!$AK$48</definedName>
    <definedName name="teachassgn_math_genmath_m_g12">'[1]IV. Table 11.B to 11.D'!$AT$48</definedName>
    <definedName name="teachassgn_math_stat_f_g11">'[1]IV. Table 11.B to 11.D'!$AN$49</definedName>
    <definedName name="teachassgn_math_stat_f_g12">'[1]IV. Table 11.B to 11.D'!$AW$49</definedName>
    <definedName name="teachassgn_math_stat_m_g11">'[1]IV. Table 11.B to 11.D'!$AK$49</definedName>
    <definedName name="teachassgn_math_stat_m_g12">'[1]IV. Table 11.B to 11.D'!$AT$49</definedName>
    <definedName name="teachassgn_pe_phyeduc_f_g11">'[1]IV. Table 11.B to 11.D'!$AN$63</definedName>
    <definedName name="teachassgn_pe_phyeduc_f_g12">'[1]IV. Table 11.B to 11.D'!$AW$63</definedName>
    <definedName name="teachassgn_pe_phyeduc_m_g11">'[1]IV. Table 11.B to 11.D'!$AK$63</definedName>
    <definedName name="teachassgn_pe_phyeduc_m_g12">'[1]IV. Table 11.B to 11.D'!$AT$63</definedName>
    <definedName name="teachassgn_philo_introphilo_f_g11">'[1]IV. Table 11.B to 11.D'!$AN$62</definedName>
    <definedName name="teachassgn_philo_introphilo_f_g12">'[1]IV. Table 11.B to 11.D'!$AW$62</definedName>
    <definedName name="teachassgn_philo_introphilo_m_g11">'[1]IV. Table 11.B to 11.D'!$AK$62</definedName>
    <definedName name="teachassgn_philo_introphilo_m_g12">'[1]IV. Table 11.B to 11.D'!$AT$62</definedName>
    <definedName name="teachassgn_sci_earthnlife_f_g11">'[1]IV. Table 11.B to 11.D'!$AN$51</definedName>
    <definedName name="teachassgn_sci_earthnlife_f_g12">'[1]IV. Table 11.B to 11.D'!$AW$51</definedName>
    <definedName name="teachassgn_sci_earthnlife_m_g11">'[1]IV. Table 11.B to 11.D'!$AK$51</definedName>
    <definedName name="teachassgn_sci_earthnlife_m_g12">'[1]IV. Table 11.B to 11.D'!$AT$51</definedName>
    <definedName name="teachassgn_sci_physci_f_g11">'[1]IV. Table 11.B to 11.D'!$AN$52</definedName>
    <definedName name="teachassgn_sci_physci_f_g12">'[1]IV. Table 11.B to 11.D'!$AW$52</definedName>
    <definedName name="teachassgn_sci_physci_m_g11">'[1]IV. Table 11.B to 11.D'!$AK$52</definedName>
    <definedName name="teachassgn_sci_physci_m_g12">'[1]IV. Table 11.B to 11.D'!$AT$52</definedName>
    <definedName name="teachassgn_socsci_culturensociety_f_g11">'[1]IV. Table 11.B to 11.D'!$AN$60</definedName>
    <definedName name="teachassgn_socsci_culturensociety_f_g12">'[1]IV. Table 11.B to 11.D'!$AW$60</definedName>
    <definedName name="teachassgn_socsci_culturensociety_m_g11">'[1]IV. Table 11.B to 11.D'!$AK$60</definedName>
    <definedName name="teachassgn_socsci_culturensociety_m_g12">'[1]IV. Table 11.B to 11.D'!$AT$60</definedName>
    <definedName name="teachassgn_socsci_personaldev_f_g11">'[1]IV. Table 11.B to 11.D'!$AN$59</definedName>
    <definedName name="teachassgn_socsci_personaldev_f_g12">'[1]IV. Table 11.B to 11.D'!$AW$59</definedName>
    <definedName name="teachassgn_socsci_personaldev_m_g11">'[1]IV. Table 11.B to 11.D'!$AK$59</definedName>
    <definedName name="teachassgn_socsci_personaldev_m_g12">'[1]IV. Table 11.B to 11.D'!$AT$59</definedName>
    <definedName name="teachassgn_techpro_aesth_welln_hc_f_g11">'[1]IV. Table 11.E'!$AN$26</definedName>
    <definedName name="teachassgn_techpro_aesth_welln_hc_m_g11">'[1]IV. Table 11.E'!$AH$26</definedName>
    <definedName name="teachassgn_techpro_agri_fishry_bfi_f_g11">'[1]IV. Table 11.E'!$AN$27</definedName>
    <definedName name="teachassgn_techpro_agri_fishry_bfi_m_g11">'[1]IV. Table 11.E'!$AH$27</definedName>
    <definedName name="teachassgn_techpro_artisanry_ce_f_g11">'[1]IV. Table 11.E'!$AN$28</definedName>
    <definedName name="teachassgn_techpro_artisanry_ce_m_g11">'[1]IV. Table 11.E'!$AH$28</definedName>
    <definedName name="teachassgn_techpro_automotive_set_f_g11">'[1]IV. Table 11.E'!$AN$29</definedName>
    <definedName name="teachassgn_techpro_automotive_set_m_g11">'[1]IV. Table 11.E'!$AH$29</definedName>
    <definedName name="teachassgn_techpro_construction_bt_f_g11">'[1]IV. Table 11.E'!$AN$30</definedName>
    <definedName name="teachassgn_techpro_construction_bt_m_g11">'[1]IV. Table 11.E'!$AH$30</definedName>
    <definedName name="teachassgn_techpro_creative_adt_f_g11">'[1]IV. Table 11.E'!$AN$31</definedName>
    <definedName name="teachassgn_techpro_creative_adt_m_g11">'[1]IV. Table 11.E'!$AH$31</definedName>
    <definedName name="teachassgn_techpro_hospitality_tour_f_g11">'[1]IV. Table 11.E'!$AN$32</definedName>
    <definedName name="teachassgn_techpro_hospitality_tour_m_g11">'[1]IV. Table 11.E'!$AH$32</definedName>
    <definedName name="teachassgn_techpro_ict_supp_cpt_f_g11">'[1]IV. Table 11.E'!$AN$34</definedName>
    <definedName name="teachassgn_techpro_ict_supp_cpt_m_g11">'[1]IV. Table 11.E'!$AH$34</definedName>
    <definedName name="teachassgn_techpro_industrial_tech_f_g11">'[1]IV. Table 11.E'!$AN$33</definedName>
    <definedName name="teachassgn_techpro_industrial_tech_m_g11">'[1]IV. Table 11.E'!$AH$33</definedName>
    <definedName name="teachassgn_techpro_maritime_trans_f_g11">'[1]IV. Table 11.E'!$AN$35</definedName>
    <definedName name="teachassgn_techpro_maritime_trans_m_g11">'[1]IV. Table 11.E'!$AH$35</definedName>
    <definedName name="teachassgn_tvl_f_g11">'[1]IV. Table 11.B to 11.D'!$AN$65</definedName>
    <definedName name="teachassgn_tvl_f_g12">'[1]IV. Table 11.B to 11.D'!$AW$65</definedName>
    <definedName name="teachassgn_tvl_m_g11">'[1]IV. Table 11.B to 11.D'!$AK$65</definedName>
    <definedName name="teachassgn_tvl_m_g12">'[1]IV. Table 11.B to 11.D'!$AT$65</definedName>
    <definedName name="teachassign_spcl_com_bachmajor_greaterthan40">'[1]II. Table 1'!$X$26</definedName>
    <definedName name="teachassign_spcl_com_bachmajor_notgreaterthan40">'[1]II. Table 1'!$AW$26</definedName>
    <definedName name="teachassign_spcl_com_bachminor_greaterthan40">'[1]II. Table 1'!$AC$26</definedName>
    <definedName name="teachassign_spcl_com_bachminor_notgreaterthan40">'[1]II. Table 1'!$BB$26</definedName>
    <definedName name="teachassign_spcl_com_gradmajor_greaterthan40">'[1]II. Table 1'!$S$26</definedName>
    <definedName name="teachassign_spcl_com_gradmajor_notgreaterthan40">'[1]II. Table 1'!$AR$26</definedName>
    <definedName name="teachassign_spcl_com_nospcltraining_greaterthan40">'[1]II. Table 1'!$AM$26</definedName>
    <definedName name="teachassign_spcl_com_nospcltraining_notgreaterthan40">'[1]II. Table 1'!$BL$26</definedName>
    <definedName name="teachassign_spcl_com_withspcltraining_greaterthan40">'[1]II. Table 1'!$AH$26</definedName>
    <definedName name="teachassign_spcl_com_withspcltraining_notgreaterthan40">'[1]II. Table 1'!$BG$26</definedName>
    <definedName name="teachassign_spcl_eng_bachmajor_greaterthan40">'[1]II. Table 1'!$X$22</definedName>
    <definedName name="teachassign_spcl_eng_bachmajor_notgreaterthan40">'[1]II. Table 1'!$AW$22</definedName>
    <definedName name="teachassign_spcl_eng_bachminor_greaterthan40">'[1]II. Table 1'!$AC$22</definedName>
    <definedName name="teachassign_spcl_eng_bachminor_notgreaterthan40">'[1]II. Table 1'!$BB$22</definedName>
    <definedName name="teachassign_spcl_eng_gradmajor_greaterthan40">'[1]II. Table 1'!$S$22</definedName>
    <definedName name="teachassign_spcl_eng_gradmajor_notgreaterthan40">'[1]II. Table 1'!$AR$22</definedName>
    <definedName name="teachassign_spcl_eng_nospcltraining_greaterthan40">'[1]II. Table 1'!$AM$22</definedName>
    <definedName name="teachassign_spcl_eng_nospcltraining_notgreaterthan40">'[1]II. Table 1'!$BL$22</definedName>
    <definedName name="teachassign_spcl_eng_withspcltraining_greaterthan40">'[1]II. Table 1'!$AH$22</definedName>
    <definedName name="teachassign_spcl_eng_withspcltraining_notgreaterthan40">'[1]II. Table 1'!$BG$22</definedName>
    <definedName name="teachassign_spcl_fil_bachmajor_greaterthan40">'[1]II. Table 1'!$X$24</definedName>
    <definedName name="teachassign_spcl_fil_bachmajor_notgreaterthan40">'[1]II. Table 1'!$AW$24</definedName>
    <definedName name="teachassign_spcl_fil_bachminor_greaterthan40">'[1]II. Table 1'!$AC$24</definedName>
    <definedName name="teachassign_spcl_fil_bachminor_notgreaterthan40">'[1]II. Table 1'!$BB$24</definedName>
    <definedName name="teachassign_spcl_fil_gradmajor_greaterthan40">'[1]II. Table 1'!$S$24</definedName>
    <definedName name="teachassign_spcl_fil_gradmajor_notgreaterthan40">'[1]II. Table 1'!$AR$24</definedName>
    <definedName name="teachassign_spcl_fil_nospcltraining_greaterthan40">'[1]II. Table 1'!$AM$24</definedName>
    <definedName name="teachassign_spcl_fil_nospcltraining_notgreaterthan40">'[1]II. Table 1'!$BL$24</definedName>
    <definedName name="teachassign_spcl_fil_withspcltraining_greaterthan40">'[1]II. Table 1'!$AH$24</definedName>
    <definedName name="teachassign_spcl_fil_withspcltraining_notgreaterthan40">'[1]II. Table 1'!$BG$24</definedName>
    <definedName name="teachassign_spcl_hum_bachmajor_greaterthan40">'[1]II. Table 1'!$X$27</definedName>
    <definedName name="teachassign_spcl_hum_bachmajor_notgreaterthan40">'[1]II. Table 1'!$AW$27</definedName>
    <definedName name="teachassign_spcl_hum_bachminor_greaterthan40">'[1]II. Table 1'!$AC$27</definedName>
    <definedName name="teachassign_spcl_hum_bachminor_notgreaterthan40">'[1]II. Table 1'!$BB$27</definedName>
    <definedName name="teachassign_spcl_hum_gradmajor_greaterthan40">'[1]II. Table 1'!$S$27</definedName>
    <definedName name="teachassign_spcl_hum_gradmajor_notgreaterthan40">'[1]II. Table 1'!$AR$27</definedName>
    <definedName name="teachassign_spcl_hum_nospcltraining_greaterthan40">'[1]II. Table 1'!$AM$27</definedName>
    <definedName name="teachassign_spcl_hum_nospcltraining_notgreaterthan40">'[1]II. Table 1'!$BL$27</definedName>
    <definedName name="teachassign_spcl_hum_withspcltraining_greaterthan40">'[1]II. Table 1'!$AH$27</definedName>
    <definedName name="teachassign_spcl_hum_withspcltraining_notgreaterthan40">'[1]II. Table 1'!$BG$27</definedName>
    <definedName name="teachassign_spcl_math_bachmajor_greaterthan40">'[1]II. Table 1'!$X$23</definedName>
    <definedName name="teachassign_spcl_math_bachmajor_notgreaterthan40">'[1]II. Table 1'!$AW$23</definedName>
    <definedName name="teachassign_spcl_math_bachminor_greaterthan40">'[1]II. Table 1'!$AC$23</definedName>
    <definedName name="teachassign_spcl_math_bachminor_notgreaterthan40">'[1]II. Table 1'!$BB$23</definedName>
    <definedName name="teachassign_spcl_math_gradmajor_greaterthan40">'[1]II. Table 1'!$S$23</definedName>
    <definedName name="teachassign_spcl_math_gradmajor_notgreaterthan40">'[1]II. Table 1'!$AR$23</definedName>
    <definedName name="teachassign_spcl_math_nospcltraining_greaterthan40">'[1]II. Table 1'!$AM$23</definedName>
    <definedName name="teachassign_spcl_math_nospcltraining_notgreaterthan40">'[1]II. Table 1'!$BL$23</definedName>
    <definedName name="teachassign_spcl_math_withspcltraining_greaterthan40">'[1]II. Table 1'!$AH$23</definedName>
    <definedName name="teachassign_spcl_math_withspcltraining_notgreaterthan40">'[1]II. Table 1'!$BG$23</definedName>
    <definedName name="teachassign_spcl_penhealth_bachmajor_greaterthan40">'[1]II. Table 1'!$X$30</definedName>
    <definedName name="teachassign_spcl_penhealth_bachmajor_notgreaterthan40">'[1]II. Table 1'!$AW$30</definedName>
    <definedName name="teachassign_spcl_penhealth_bachminor_greaterthan40">'[1]II. Table 1'!$AC$30</definedName>
    <definedName name="teachassign_spcl_penhealth_bachminor_notgreaterthan40">'[1]II. Table 1'!$BB$30</definedName>
    <definedName name="teachassign_spcl_penhealth_gradmajor_greaterthan40">'[1]II. Table 1'!$S$30</definedName>
    <definedName name="teachassign_spcl_penhealth_gradmajor_notgreaterthan40">'[1]II. Table 1'!$AR$30</definedName>
    <definedName name="teachassign_spcl_penhealth_nospcltraining_greaterthan40">'[1]II. Table 1'!$AM$30</definedName>
    <definedName name="teachassign_spcl_penhealth_nospcltraining_notgreaterthan40">'[1]II. Table 1'!$BL$30</definedName>
    <definedName name="teachassign_spcl_penhealth_withspcltraining_greaterthan40">'[1]II. Table 1'!$AH$30</definedName>
    <definedName name="teachassign_spcl_penhealth_withspcltraining_notgreaterthan40">'[1]II. Table 1'!$BG$30</definedName>
    <definedName name="teachassign_spcl_philo_bachmajor_greaterthan40">'[1]II. Table 1'!$X$29</definedName>
    <definedName name="teachassign_spcl_philo_bachmajor_notgreaterthan40">'[1]II. Table 1'!$AW$29</definedName>
    <definedName name="teachassign_spcl_philo_bachminor_greaterthan40">'[1]II. Table 1'!$AC$29</definedName>
    <definedName name="teachassign_spcl_philo_bachminor_notgreaterthan40">'[1]II. Table 1'!$BB$29</definedName>
    <definedName name="teachassign_spcl_philo_gradmajor_greaterthan40">'[1]II. Table 1'!$S$29</definedName>
    <definedName name="teachassign_spcl_philo_gradmajor_notgreaterthan40">'[1]II. Table 1'!$AR$29</definedName>
    <definedName name="teachassign_spcl_philo_nospcltraining_greaterthan40">'[1]II. Table 1'!$AM$29</definedName>
    <definedName name="teachassign_spcl_philo_nospcltraining_notgreaterthan40">'[1]II. Table 1'!$BL$29</definedName>
    <definedName name="teachassign_spcl_philo_withspcltraining_greaterthan40">'[1]II. Table 1'!$AH$29</definedName>
    <definedName name="teachassign_spcl_philo_withspcltraining_notgreaterthan40">'[1]II. Table 1'!$BG$29</definedName>
    <definedName name="teachassign_spcl_sci_bachmajor_greaterthan40">'[1]II. Table 1'!$X$25</definedName>
    <definedName name="teachassign_spcl_sci_bachmajor_notgreaterthan40">'[1]II. Table 1'!$AW$25</definedName>
    <definedName name="teachassign_spcl_sci_bachminor_greaterthan40">'[1]II. Table 1'!$AC$25</definedName>
    <definedName name="teachassign_spcl_sci_bachminor_notgreaterthan40">'[1]II. Table 1'!$BB$25</definedName>
    <definedName name="teachassign_spcl_sci_gradmajor_greaterthan40">'[1]II. Table 1'!$S$25</definedName>
    <definedName name="teachassign_spcl_sci_gradmajor_notgreaterthan40">'[1]II. Table 1'!$AR$25</definedName>
    <definedName name="teachassign_spcl_sci_nospcltraining_greaterthan40">'[1]II. Table 1'!$AM$25</definedName>
    <definedName name="teachassign_spcl_sci_nospcltraining_notgreaterthan40">'[1]II. Table 1'!$BL$25</definedName>
    <definedName name="teachassign_spcl_sci_withspcltraining_greaterthan40">'[1]II. Table 1'!$AH$25</definedName>
    <definedName name="teachassign_spcl_sci_withspcltraining_notgreaterthan40">'[1]II. Table 1'!$BG$25</definedName>
    <definedName name="teachassign_spcl_socsci_bachmajor_greaterthan40">'[1]II. Table 1'!$X$28</definedName>
    <definedName name="teachassign_spcl_socsci_bachmajor_notgreaterthan40">'[1]II. Table 1'!$AW$28</definedName>
    <definedName name="teachassign_spcl_socsci_bachminor_greaterthan40">'[1]II. Table 1'!$AC$28</definedName>
    <definedName name="teachassign_spcl_socsci_bachminor_notgreaterthan40">'[1]II. Table 1'!$BB$28</definedName>
    <definedName name="teachassign_spcl_socsci_gradmajor_greaterthan40">'[1]II. Table 1'!$S$28</definedName>
    <definedName name="teachassign_spcl_socsci_gradmajor_notgreaterthan40">'[1]II. Table 1'!$AR$28</definedName>
    <definedName name="teachassign_spcl_socsci_nospcltraining_greaterthan40">'[1]II. Table 1'!$AM$28</definedName>
    <definedName name="teachassign_spcl_socsci_nospcltraining_notgreaterthan40">'[1]II. Table 1'!$BL$28</definedName>
    <definedName name="teachassign_spcl_socsci_withspcltraining_greaterthan40">'[1]II. Table 1'!$AH$28</definedName>
    <definedName name="teachassign_spcl_socsci_withspcltraining_notgreaterthan40">'[1]II. Table 1'!$BG$28</definedName>
    <definedName name="teacher_foreignlang_chn_f">'[1]IV. Tables 17 &amp; 18'!$AD$8</definedName>
    <definedName name="teacher_foreignlang_chn_m">'[1]IV. Tables 17 &amp; 18'!$Y$8</definedName>
    <definedName name="teacher_foreignlang_fre_f">'[1]IV. Tables 17 &amp; 18'!$AD$10</definedName>
    <definedName name="teacher_foreignlang_fre_m">'[1]IV. Tables 17 &amp; 18'!$Y$10</definedName>
    <definedName name="teacher_foreignlang_ger_f">'[1]IV. Tables 17 &amp; 18'!$AD$12</definedName>
    <definedName name="teacher_foreignlang_ger_m">'[1]IV. Tables 17 &amp; 18'!$Y$12</definedName>
    <definedName name="teacher_foreignlang_jap_f">'[1]IV. Tables 17 &amp; 18'!$AD$14</definedName>
    <definedName name="teacher_foreignlang_jap_m">'[1]IV. Tables 17 &amp; 18'!$Y$14</definedName>
    <definedName name="teacher_foreignlang_kor_f">'[1]IV. Tables 17 &amp; 18'!$AD$16</definedName>
    <definedName name="teacher_foreignlang_kor_m">'[1]IV. Tables 17 &amp; 18'!$Y$16</definedName>
    <definedName name="teacher_foreignlang_spa_f">'[1]IV. Tables 17 &amp; 18'!$AD$18</definedName>
    <definedName name="teacher_foreignlang_spa_m">'[1]IV. Tables 17 &amp; 18'!$Y$18</definedName>
    <definedName name="teachers_art_specialization_applied_arts_f_g10">'[1]IV. Tables 14 &amp; 15'!$AE$18</definedName>
    <definedName name="teachers_art_specialization_applied_arts_f_g7">'[1]IV. Tables 14 &amp; 15'!$M$18</definedName>
    <definedName name="teachers_art_specialization_applied_arts_f_g8">'[1]IV. Tables 14 &amp; 15'!$S$18</definedName>
    <definedName name="teachers_art_specialization_applied_arts_f_g9">'[1]IV. Tables 14 &amp; 15'!$Y$18</definedName>
    <definedName name="teachers_art_specialization_applied_arts_m_g10">'[1]IV. Tables 14 &amp; 15'!$AB$18</definedName>
    <definedName name="teachers_art_specialization_applied_arts_m_g7">'[1]IV. Tables 14 &amp; 15'!$J$18</definedName>
    <definedName name="teachers_art_specialization_applied_arts_m_g8">'[1]IV. Tables 14 &amp; 15'!$P$18</definedName>
    <definedName name="teachers_art_specialization_applied_arts_m_g9">'[1]IV. Tables 14 &amp; 15'!$V$18</definedName>
    <definedName name="teachers_art_specialization_creative_writing_f_g10">'[1]IV. Tables 14 &amp; 15'!$AE$15</definedName>
    <definedName name="teachers_art_specialization_creative_writing_f_g7">'[1]IV. Tables 14 &amp; 15'!$M$15</definedName>
    <definedName name="teachers_art_specialization_creative_writing_f_g8">'[1]IV. Tables 14 &amp; 15'!$S$15</definedName>
    <definedName name="teachers_art_specialization_creative_writing_f_g9">'[1]IV. Tables 14 &amp; 15'!$Y$15</definedName>
    <definedName name="teachers_art_specialization_creative_writing_m_g10">'[1]IV. Tables 14 &amp; 15'!$AB$15</definedName>
    <definedName name="teachers_art_specialization_creative_writing_m_g7">'[1]IV. Tables 14 &amp; 15'!$J$15</definedName>
    <definedName name="teachers_art_specialization_creative_writing_m_g8">'[1]IV. Tables 14 &amp; 15'!$P$15</definedName>
    <definedName name="teachers_art_specialization_creative_writing_m_g9">'[1]IV. Tables 14 &amp; 15'!$V$15</definedName>
    <definedName name="teachers_art_specialization_dance_f_g10">'[1]IV. Tables 14 &amp; 15'!$AE$12</definedName>
    <definedName name="teachers_art_specialization_dance_f_g7">'[1]IV. Tables 14 &amp; 15'!$M$12</definedName>
    <definedName name="teachers_art_specialization_dance_f_g8">'[1]IV. Tables 14 &amp; 15'!$S$12</definedName>
    <definedName name="teachers_art_specialization_dance_f_g9">'[1]IV. Tables 14 &amp; 15'!$Y$12</definedName>
    <definedName name="teachers_art_specialization_dance_m_g10">'[1]IV. Tables 14 &amp; 15'!$AB$12</definedName>
    <definedName name="teachers_art_specialization_dance_m_g7">'[1]IV. Tables 14 &amp; 15'!$J$12</definedName>
    <definedName name="teachers_art_specialization_dance_m_g8">'[1]IV. Tables 14 &amp; 15'!$P$12</definedName>
    <definedName name="teachers_art_specialization_dance_m_g9">'[1]IV. Tables 14 &amp; 15'!$V$12</definedName>
    <definedName name="teachers_art_specialization_literary_arts_f_g10">'[1]IV. Tables 14 &amp; 15'!$AE$14</definedName>
    <definedName name="teachers_art_specialization_literary_arts_f_g7">'[1]IV. Tables 14 &amp; 15'!$M$14</definedName>
    <definedName name="teachers_art_specialization_literary_arts_f_g8">'[1]IV. Tables 14 &amp; 15'!$S$14</definedName>
    <definedName name="teachers_art_specialization_literary_arts_f_g9">'[1]IV. Tables 14 &amp; 15'!$Y$14</definedName>
    <definedName name="teachers_art_specialization_literary_arts_m_g10">'[1]IV. Tables 14 &amp; 15'!$AB$14</definedName>
    <definedName name="teachers_art_specialization_literary_arts_m_g7">'[1]IV. Tables 14 &amp; 15'!$J$14</definedName>
    <definedName name="teachers_art_specialization_literary_arts_m_g8">'[1]IV. Tables 14 &amp; 15'!$P$14</definedName>
    <definedName name="teachers_art_specialization_literary_arts_m_g9">'[1]IV. Tables 14 &amp; 15'!$V$14</definedName>
    <definedName name="teachers_art_specialization_media_arts_f_g10">'[1]IV. Tables 14 &amp; 15'!$AE$16</definedName>
    <definedName name="teachers_art_specialization_media_arts_f_g7">'[1]IV. Tables 14 &amp; 15'!$M$16</definedName>
    <definedName name="teachers_art_specialization_media_arts_f_g8">'[1]IV. Tables 14 &amp; 15'!$S$16</definedName>
    <definedName name="teachers_art_specialization_media_arts_f_g9">'[1]IV. Tables 14 &amp; 15'!$Y$16</definedName>
    <definedName name="teachers_art_specialization_media_arts_m_g10">'[1]IV. Tables 14 &amp; 15'!$AB$16</definedName>
    <definedName name="teachers_art_specialization_media_arts_m_g7">'[1]IV. Tables 14 &amp; 15'!$J$16</definedName>
    <definedName name="teachers_art_specialization_media_arts_m_g8">'[1]IV. Tables 14 &amp; 15'!$P$16</definedName>
    <definedName name="teachers_art_specialization_media_arts_m_g9">'[1]IV. Tables 14 &amp; 15'!$V$16</definedName>
    <definedName name="teachers_art_specialization_music_f_g10">'[1]IV. Tables 14 &amp; 15'!$AE$11</definedName>
    <definedName name="teachers_art_specialization_music_f_g7">'[1]IV. Tables 14 &amp; 15'!$M$11</definedName>
    <definedName name="teachers_art_specialization_music_f_g8">'[1]IV. Tables 14 &amp; 15'!$S$11</definedName>
    <definedName name="teachers_art_specialization_music_f_g9">'[1]IV. Tables 14 &amp; 15'!$Y$11</definedName>
    <definedName name="teachers_art_specialization_music_m_g10">'[1]IV. Tables 14 &amp; 15'!$AB$11</definedName>
    <definedName name="teachers_art_specialization_music_m_g7">'[1]IV. Tables 14 &amp; 15'!$J$11</definedName>
    <definedName name="teachers_art_specialization_music_m_g8">'[1]IV. Tables 14 &amp; 15'!$P$11</definedName>
    <definedName name="teachers_art_specialization_music_m_g9">'[1]IV. Tables 14 &amp; 15'!$V$11</definedName>
    <definedName name="teachers_art_specialization_theater_arts_f_g10">'[1]IV. Tables 14 &amp; 15'!$AE$13</definedName>
    <definedName name="teachers_art_specialization_theater_arts_f_g7">'[1]IV. Tables 14 &amp; 15'!$M$13</definedName>
    <definedName name="teachers_art_specialization_theater_arts_f_g8">'[1]IV. Tables 14 &amp; 15'!$S$13</definedName>
    <definedName name="teachers_art_specialization_theater_arts_f_g9">'[1]IV. Tables 14 &amp; 15'!$Y$13</definedName>
    <definedName name="teachers_art_specialization_theater_arts_m_g10">'[1]IV. Tables 14 &amp; 15'!$AB$13</definedName>
    <definedName name="teachers_art_specialization_theater_arts_m_g7">'[1]IV. Tables 14 &amp; 15'!$J$13</definedName>
    <definedName name="teachers_art_specialization_theater_arts_m_g8">'[1]IV. Tables 14 &amp; 15'!$P$13</definedName>
    <definedName name="teachers_art_specialization_theater_arts_m_g9">'[1]IV. Tables 14 &amp; 15'!$V$13</definedName>
    <definedName name="teachers_art_specialization_traditional_arts_f_g10">'[1]IV. Tables 14 &amp; 15'!$AE$19</definedName>
    <definedName name="teachers_art_specialization_traditional_arts_f_g7">'[1]IV. Tables 14 &amp; 15'!$M$19</definedName>
    <definedName name="teachers_art_specialization_traditional_arts_f_g8">'[1]IV. Tables 14 &amp; 15'!$S$19</definedName>
    <definedName name="teachers_art_specialization_traditional_arts_f_g9">'[1]IV. Tables 14 &amp; 15'!$Y$19</definedName>
    <definedName name="teachers_art_specialization_traditional_arts_m_g10">'[1]IV. Tables 14 &amp; 15'!$AB$19</definedName>
    <definedName name="teachers_art_specialization_traditional_arts_m_g7">'[1]IV. Tables 14 &amp; 15'!$J$19</definedName>
    <definedName name="teachers_art_specialization_traditional_arts_m_g8">'[1]IV. Tables 14 &amp; 15'!$P$19</definedName>
    <definedName name="teachers_art_specialization_traditional_arts_m_g9">'[1]IV. Tables 14 &amp; 15'!$V$19</definedName>
    <definedName name="teachers_art_specialization_visual_arts_f_g10">'[1]IV. Tables 14 &amp; 15'!$AE$17</definedName>
    <definedName name="teachers_art_specialization_visual_arts_f_g7">'[1]IV. Tables 14 &amp; 15'!$M$17</definedName>
    <definedName name="teachers_art_specialization_visual_arts_f_g8">'[1]IV. Tables 14 &amp; 15'!$S$17</definedName>
    <definedName name="teachers_art_specialization_visual_arts_f_g9">'[1]IV. Tables 14 &amp; 15'!$Y$17</definedName>
    <definedName name="teachers_art_specialization_visual_arts_m_g10">'[1]IV. Tables 14 &amp; 15'!$AB$17</definedName>
    <definedName name="teachers_art_specialization_visual_arts_m_g7">'[1]IV. Tables 14 &amp; 15'!$J$17</definedName>
    <definedName name="teachers_art_specialization_visual_arts_m_g8">'[1]IV. Tables 14 &amp; 15'!$P$17</definedName>
    <definedName name="teachers_art_specialization_visual_arts_m_g9">'[1]IV. Tables 14 &amp; 15'!$V$17</definedName>
    <definedName name="teachers_ip_f_g10">'[1]XIII. Box 1 (Part B)'!$AI$35</definedName>
    <definedName name="teachers_ip_f_g7">'[1]XIII. Box 1 (Part B)'!$Q$35</definedName>
    <definedName name="teachers_ip_f_g8">'[1]XIII. Box 1 (Part B)'!$W$35</definedName>
    <definedName name="teachers_ip_f_g9">'[1]XIII. Box 1 (Part B)'!$AC$35</definedName>
    <definedName name="teachers_ip_m_g10">'[1]XIII. Box 1 (Part B)'!$AF$35</definedName>
    <definedName name="teachers_ip_m_g7">'[1]XIII. Box 1 (Part B)'!$N$35</definedName>
    <definedName name="teachers_ip_m_g8">'[1]XIII. Box 1 (Part B)'!$T$35</definedName>
    <definedName name="teachers_ip_m_g9">'[1]XIII. Box 1 (Part B)'!$Z$35</definedName>
    <definedName name="teachers_iped_orientation_f">'[1]XIII. Box 1 (Part B)'!$T$46</definedName>
    <definedName name="teachers_iped_orientation_m">'[1]XIII. Box 1 (Part B)'!$N$46</definedName>
    <definedName name="teachers_iped_orientation_outdeped_f">'[1]XIII. Box 1 (Part B)'!$AX$46</definedName>
    <definedName name="teachers_iped_orientation_outdeped_m">'[1]XIII. Box 1 (Part B)'!$AR$46</definedName>
    <definedName name="teachers_journalism_onlinemedia_f_g10">'[1]IV. Tables 14 &amp; 15'!$AE$35</definedName>
    <definedName name="teachers_journalism_onlinemedia_f_g7">'[1]IV. Tables 14 &amp; 15'!$M$35</definedName>
    <definedName name="teachers_journalism_onlinemedia_f_g8">'[1]IV. Tables 14 &amp; 15'!$S$35</definedName>
    <definedName name="teachers_journalism_onlinemedia_f_g9">'[1]IV. Tables 14 &amp; 15'!$Y$35</definedName>
    <definedName name="teachers_journalism_onlinemedia_m_g10">'[1]IV. Tables 14 &amp; 15'!$AB$35</definedName>
    <definedName name="teachers_journalism_onlinemedia_m_g7">'[1]IV. Tables 14 &amp; 15'!$J$35</definedName>
    <definedName name="teachers_journalism_onlinemedia_m_g8">'[1]IV. Tables 14 &amp; 15'!$P$35</definedName>
    <definedName name="teachers_journalism_onlinemedia_m_g9">'[1]IV. Tables 14 &amp; 15'!$V$35</definedName>
    <definedName name="teachers_journalism_printmedia_f_g10">'[1]IV. Tables 14 &amp; 15'!$AE$34</definedName>
    <definedName name="teachers_journalism_printmedia_f_g7">'[1]IV. Tables 14 &amp; 15'!$M$34</definedName>
    <definedName name="teachers_journalism_printmedia_f_g8">'[1]IV. Tables 14 &amp; 15'!$S$34</definedName>
    <definedName name="teachers_journalism_printmedia_f_g9">'[1]IV. Tables 14 &amp; 15'!$Y$34</definedName>
    <definedName name="teachers_journalism_printmedia_m_g10">'[1]IV. Tables 14 &amp; 15'!$AB$34</definedName>
    <definedName name="teachers_journalism_printmedia_m_g7">'[1]IV. Tables 14 &amp; 15'!$J$34</definedName>
    <definedName name="teachers_journalism_printmedia_m_g8">'[1]IV. Tables 14 &amp; 15'!$P$34</definedName>
    <definedName name="teachers_journalism_printmedia_m_g9">'[1]IV. Tables 14 &amp; 15'!$V$34</definedName>
    <definedName name="teachers_journalism_radiobroad_f_g10">'[1]IV. Tables 14 &amp; 15'!$AE$36</definedName>
    <definedName name="teachers_journalism_radiobroad_f_g7">'[1]IV. Tables 14 &amp; 15'!$M$36</definedName>
    <definedName name="teachers_journalism_radiobroad_f_g8">'[1]IV. Tables 14 &amp; 15'!$S$36</definedName>
    <definedName name="teachers_journalism_radiobroad_f_g9">'[1]IV. Tables 14 &amp; 15'!$Y$36</definedName>
    <definedName name="teachers_journalism_radiobroad_m_g10">'[1]IV. Tables 14 &amp; 15'!$AB$36</definedName>
    <definedName name="teachers_journalism_radiobroad_m_g7">'[1]IV. Tables 14 &amp; 15'!$J$36</definedName>
    <definedName name="teachers_journalism_radiobroad_m_g8">'[1]IV. Tables 14 &amp; 15'!$P$36</definedName>
    <definedName name="teachers_journalism_radiobroad_m_g9">'[1]IV. Tables 14 &amp; 15'!$V$36</definedName>
    <definedName name="teachers_journalism_tvbroad_f_g10">'[1]IV. Tables 14 &amp; 15'!$AE$37</definedName>
    <definedName name="teachers_journalism_tvbroad_f_g7">'[1]IV. Tables 14 &amp; 15'!$M$37</definedName>
    <definedName name="teachers_journalism_tvbroad_f_g8">'[1]IV. Tables 14 &amp; 15'!$S$37</definedName>
    <definedName name="teachers_journalism_tvbroad_f_g9">'[1]IV. Tables 14 &amp; 15'!$Y$37</definedName>
    <definedName name="teachers_journalism_tvbroad_m_g10">'[1]IV. Tables 14 &amp; 15'!$AB$37</definedName>
    <definedName name="teachers_journalism_tvbroad_m_g7">'[1]IV. Tables 14 &amp; 15'!$J$37</definedName>
    <definedName name="teachers_journalism_tvbroad_m_g8">'[1]IV. Tables 14 &amp; 15'!$P$37</definedName>
    <definedName name="teachers_journalism_tvbroad_m_g9">'[1]IV. Tables 14 &amp; 15'!$V$37</definedName>
    <definedName name="teachers_provided_deped_f_cse">'[1]IV. Tables 17 &amp; 18'!$AD$31</definedName>
    <definedName name="teachers_provided_deped_f_pdep">'[1]IV. Tables 17 &amp; 18'!$AD$33</definedName>
    <definedName name="teachers_provided_deped_m_cse">'[1]IV. Tables 17 &amp; 18'!$Y$31</definedName>
    <definedName name="teachers_provided_deped_m_pdep">'[1]IV. Tables 17 &amp; 18'!$Y$33</definedName>
    <definedName name="teachers_provided_nondeped_f_cse">'[1]IV. Tables 17 &amp; 18'!$AS$31</definedName>
    <definedName name="teachers_provided_nondeped_f_pdep">'[1]IV. Tables 17 &amp; 18'!$AS$33</definedName>
    <definedName name="teachers_provided_nondeped_m_cse">'[1]IV. Tables 17 &amp; 18'!$AN$31</definedName>
    <definedName name="teachers_provided_nondeped_m_pdep">'[1]IV. Tables 17 &amp; 18'!$AN$33</definedName>
    <definedName name="teachers_trained_ai_female">'[1]IV. Tables 19 to 21'!$AO$13</definedName>
    <definedName name="teachers_trained_ai_male">'[1]IV. Tables 19 to 21'!$AK$13</definedName>
    <definedName name="teachers_trained_collaborative_female">'[1]IV. Tables 19 to 21'!$AO$35</definedName>
    <definedName name="teachers_trained_collaborative_male">'[1]IV. Tables 19 to 21'!$AK$35</definedName>
    <definedName name="teachers_trained_constructivist_female">'[1]IV. Tables 19 to 21'!$AO$32</definedName>
    <definedName name="teachers_trained_constructivist_male">'[1]IV. Tables 19 to 21'!$AK$32</definedName>
    <definedName name="teachers_trained_hardware_female">'[1]IV. Tables 19 to 21'!$AO$12</definedName>
    <definedName name="teachers_trained_hardware_male">'[1]IV. Tables 19 to 21'!$AK$12</definedName>
    <definedName name="teachers_trained_ictintegration_female">'[1]IV. Tables 19 to 21'!$AO$9</definedName>
    <definedName name="teachers_trained_ictintegration_male">'[1]IV. Tables 19 to 21'!$AK$9</definedName>
    <definedName name="teachers_trained_ictliteracy_female">'[1]IV. Tables 19 to 21'!$AO$10</definedName>
    <definedName name="teachers_trained_ictliteracy_male">'[1]IV. Tables 19 to 21'!$AK$10</definedName>
    <definedName name="teachers_trained_inclusiveeduc_female">'[1]IV. Tables 19 to 21'!$AO$37</definedName>
    <definedName name="teachers_trained_inclusiveeduc_male">'[1]IV. Tables 19 to 21'!$AK$37</definedName>
    <definedName name="teachers_trained_inquirybased_female">'[1]IV. Tables 19 to 21'!$AO$33</definedName>
    <definedName name="teachers_trained_inquirybased_male">'[1]IV. Tables 19 to 21'!$AK$33</definedName>
    <definedName name="teachers_trained_integrative_female">'[1]IV. Tables 19 to 21'!$AO$36</definedName>
    <definedName name="teachers_trained_integrative_male">'[1]IV. Tables 19 to 21'!$AK$36</definedName>
    <definedName name="teachers_trained_reflective_female">'[1]IV. Tables 19 to 21'!$AO$34</definedName>
    <definedName name="teachers_trained_reflective_male">'[1]IV. Tables 19 to 21'!$AK$34</definedName>
    <definedName name="teachers_trained_software_female">'[1]IV. Tables 19 to 21'!$AO$11</definedName>
    <definedName name="teachers_trained_software_male">'[1]IV. Tables 19 to 21'!$AK$11</definedName>
    <definedName name="teachers_trained_specialcpdeped_spa_f">'[1]IV. Tables 17 &amp; 18'!$AD$35</definedName>
    <definedName name="teachers_trained_specialcpdeped_spa_m">'[1]IV. Tables 17 &amp; 18'!$Y$35</definedName>
    <definedName name="teachers_trained_specialcpdeped_spfl_f">'[1]IV. Tables 17 &amp; 18'!$AD$37</definedName>
    <definedName name="teachers_trained_specialcpdeped_spfl_m">'[1]IV. Tables 17 &amp; 18'!$Y$37</definedName>
    <definedName name="teachers_trained_specialcpdeped_spj_f">'[1]IV. Tables 17 &amp; 18'!$AD$39</definedName>
    <definedName name="teachers_trained_specialcpdeped_spj_m">'[1]IV. Tables 17 &amp; 18'!$Y$39</definedName>
    <definedName name="teachers_trained_specialcpdeped_sps_f">'[1]IV. Tables 17 &amp; 18'!$AD$43</definedName>
    <definedName name="teachers_trained_specialcpdeped_sps_m">'[1]IV. Tables 17 &amp; 18'!$Y$43</definedName>
    <definedName name="teachers_trained_specialcpdeped_spste_f">'[1]IV. Tables 17 &amp; 18'!$AD$41</definedName>
    <definedName name="teachers_trained_specialcpdeped_spste_m">'[1]IV. Tables 17 &amp; 18'!$Y$41</definedName>
    <definedName name="teachers_trained_specialcpdeped_sptve_f">'[1]IV. Tables 17 &amp; 18'!$AD$45</definedName>
    <definedName name="teachers_trained_specialcpdeped_sptve_m">'[1]IV. Tables 17 &amp; 18'!$Y$45</definedName>
    <definedName name="teachers_trained_specialcpnondeped_spa_f">'[1]IV. Tables 17 &amp; 18'!$AS$35</definedName>
    <definedName name="teachers_trained_specialcpnondeped_spa_m">'[1]IV. Tables 17 &amp; 18'!$AN$35</definedName>
    <definedName name="teachers_trained_specialcpnondeped_spfl_f">'[1]IV. Tables 17 &amp; 18'!$AS$37</definedName>
    <definedName name="teachers_trained_specialcpnondeped_spfl_m">'[1]IV. Tables 17 &amp; 18'!$AN$37</definedName>
    <definedName name="teachers_trained_specialcpnondeped_spj_f">'[1]IV. Tables 17 &amp; 18'!$AS$39</definedName>
    <definedName name="teachers_trained_specialcpnondeped_spj_m">'[1]IV. Tables 17 &amp; 18'!$AN$39</definedName>
    <definedName name="teachers_trained_specialcpnondeped_sps_f">'[1]IV. Tables 17 &amp; 18'!$AS$43</definedName>
    <definedName name="teachers_trained_specialcpnondeped_sps_m">'[1]IV. Tables 17 &amp; 18'!$AN$43</definedName>
    <definedName name="teachers_trained_specialcpnondeped_spste_f">'[1]IV. Tables 17 &amp; 18'!$AS$41</definedName>
    <definedName name="teachers_trained_specialcpnondeped_spste_m">'[1]IV. Tables 17 &amp; 18'!$AN$41</definedName>
    <definedName name="teachers_trained_specialcpnondeped_sptve_f">'[1]IV. Tables 17 &amp; 18'!$AS$45</definedName>
    <definedName name="teachers_trained_specialcpnondeped_sptve_m">'[1]IV. Tables 17 &amp; 18'!$AN$45</definedName>
    <definedName name="tobaccoctrl_learners_bti_ends_jhs">'IX. Boxes 5 &amp; 6'!$Z$51</definedName>
    <definedName name="tobaccoctrl_learners_tobacco_ends_jhs">'IX. Boxes 5 &amp; 6'!$Z$49</definedName>
    <definedName name="tvl_agricrops_nc1_f_psrs_2021">'[1]I. Table 6'!$AQ$36</definedName>
    <definedName name="tvl_agricrops_nc1_f_tkrs_2021">'[1]I. Table 6'!$AE$36</definedName>
    <definedName name="tvl_agricrops_nc1_m_psrs_2021">'[1]I. Table 6'!$AK$36</definedName>
    <definedName name="tvl_agricrops_nc1_m_tkrs_2021">'[1]I. Table 6'!$Y$36</definedName>
    <definedName name="tvl_agricrops_nc2_f_psrs_2021">'[1]I. Table 6'!$AQ$37</definedName>
    <definedName name="tvl_agricrops_nc2_f_tkrs_2021">'[1]I. Table 6'!$AE$37</definedName>
    <definedName name="tvl_agricrops_nc2_m_psrs_2021">'[1]I. Table 6'!$AK$37</definedName>
    <definedName name="tvl_agricrops_nc2_m_tkrs_2021">'[1]I. Table 6'!$Y$37</definedName>
    <definedName name="tvl_agricrops_nc3_f_psrs_2021">'[1]I. Table 6'!$AQ$38</definedName>
    <definedName name="tvl_agricrops_nc3_f_tkrs_2021">'[1]I. Table 6'!$AE$38</definedName>
    <definedName name="tvl_agricrops_nc3_m_psrs_2021">'[1]I. Table 6'!$AK$38</definedName>
    <definedName name="tvl_agricrops_nc3_m_tkrs_2021">'[1]I. Table 6'!$Y$38</definedName>
    <definedName name="tvl_animalhealthcare_nc3_f_psrs_2021">'[1]I. Table 6'!$AQ$39</definedName>
    <definedName name="tvl_animalhealthcare_nc3_f_tkrs_2021">'[1]I. Table 6'!$AE$39</definedName>
    <definedName name="tvl_animalhealthcare_nc3_m_psrs_2021">'[1]I. Table 6'!$AK$39</definedName>
    <definedName name="tvl_animalhealthcare_nc3_m_tkrs_2021">'[1]I. Table 6'!$Y$39</definedName>
    <definedName name="tvl_animalprodpoultry_nc2_f_psrs_2021">'[1]I. Table 6'!$AQ$40</definedName>
    <definedName name="tvl_animalprodpoultry_nc2_f_tkrs_2021">'[1]I. Table 6'!$AE$40</definedName>
    <definedName name="tvl_animalprodpoultry_nc2_m_psrs_2021">'[1]I. Table 6'!$AK$40</definedName>
    <definedName name="tvl_animalprodpoultry_nc2_m_tkrs_2021">'[1]I. Table 6'!$Y$40</definedName>
    <definedName name="tvl_animalprodruminants_nc2_f_psrs_2021">'[1]I. Table 6'!$AQ$41</definedName>
    <definedName name="tvl_animalprodruminants_nc2_f_tkrs_2021">'[1]I. Table 6'!$AE$41</definedName>
    <definedName name="tvl_animalprodruminants_nc2_m_psrs_2021">'[1]I. Table 6'!$AK$41</definedName>
    <definedName name="tvl_animalprodruminants_nc2_m_tkrs_2021">'[1]I. Table 6'!$Y$41</definedName>
    <definedName name="tvl_animalprodswine_nc2_f_psrs_2021">'[1]I. Table 6'!$AQ$42</definedName>
    <definedName name="tvl_animalprodswine_nc2_f_tkrs_2021">'[1]I. Table 6'!$AE$42</definedName>
    <definedName name="tvl_animalprodswine_nc2_m_psrs_2021">'[1]I. Table 6'!$AK$42</definedName>
    <definedName name="tvl_animalprodswine_nc2_m_tkrs_2021">'[1]I. Table 6'!$Y$42</definedName>
    <definedName name="tvl_animation_nc2_f_psrs_2021">'[1]I. Table 6 (cont.)'!$AQ$38</definedName>
    <definedName name="tvl_animation_nc2_f_tkrs_2021">'[1]I. Table 6 (cont.)'!$AE$38</definedName>
    <definedName name="tvl_animation_nc2_m_psrs_2021">'[1]I. Table 6 (cont.)'!$AK$38</definedName>
    <definedName name="tvl_animation_nc2_m_tkrs_2021">'[1]I. Table 6 (cont.)'!$Y$38</definedName>
    <definedName name="tvl_aquaculture_nc2_f_psrs_2021">'[1]I. Table 6'!$AQ$43</definedName>
    <definedName name="tvl_aquaculture_nc2_f_tkrs_2021">'[1]I. Table 6'!$AE$43</definedName>
    <definedName name="tvl_aquaculture_nc2_m_psrs_2021">'[1]I. Table 6'!$AK$43</definedName>
    <definedName name="tvl_aquaculture_nc2_m_tkrs_2021">'[1]I. Table 6'!$Y$43</definedName>
    <definedName name="tvl_artificialinseminationruminants_nc2_f_psrs_2021">'[1]I. Table 6'!$AQ$44</definedName>
    <definedName name="tvl_artificialinseminationruminants_nc2_f_tkrs_2021">'[1]I. Table 6'!$AE$44</definedName>
    <definedName name="tvl_artificialinseminationruminants_nc2_m_psrs_2021">'[1]I. Table 6'!$AK$44</definedName>
    <definedName name="tvl_artificialinseminationruminants_nc2_m_tkrs_2021">'[1]I. Table 6'!$Y$44</definedName>
    <definedName name="tvl_artificialinseminationswine_nc2_f_psrs_2021">'[1]I. Table 6'!$AQ$45</definedName>
    <definedName name="tvl_artificialinseminationswine_nc2_f_tkrs_2021">'[1]I. Table 6'!$AE$45</definedName>
    <definedName name="tvl_artificialinseminationswine_nc2_m_psrs_2021">'[1]I. Table 6'!$AK$45</definedName>
    <definedName name="tvl_artificialinseminationswine_nc2_m_tkrs_2021">'[1]I. Table 6'!$Y$45</definedName>
    <definedName name="tvl_attractions_nc2_f_psrs_2021">'[1]I. Table 6'!$AQ$10</definedName>
    <definedName name="tvl_attractions_nc2_f_tkrs_2021">'[1]I. Table 6'!$AE$10</definedName>
    <definedName name="tvl_attractions_nc2_m_psrs_2021">'[1]I. Table 6'!$AK$10</definedName>
    <definedName name="tvl_attractions_nc2_m_tkrs_2021">'[1]I. Table 6'!$Y$10</definedName>
    <definedName name="tvl_automotiveservicing_nc1_f_psrs_2021">'[1]I. Table 6 (cont.)'!$AQ$10</definedName>
    <definedName name="tvl_automotiveservicing_nc1_f_tkrs_2021">'[1]I. Table 6 (cont.)'!$AE$10</definedName>
    <definedName name="tvl_automotiveservicing_nc1_m_psrs_2021">'[1]I. Table 6 (cont.)'!$AK$10</definedName>
    <definedName name="tvl_automotiveservicing_nc1_m_tkrs_2021">'[1]I. Table 6 (cont.)'!$Y$10</definedName>
    <definedName name="tvl_automotiveservicing_nc2_f_psrs_2021">'[1]I. Table 6 (cont.)'!$AQ$11</definedName>
    <definedName name="tvl_automotiveservicing_nc2_f_tkrs_2021">'[1]I. Table 6 (cont.)'!$AE$11</definedName>
    <definedName name="tvl_automotiveservicing_nc2_m_psrs_2021">'[1]I. Table 6 (cont.)'!$AK$11</definedName>
    <definedName name="tvl_automotiveservicing_nc2_m_tkrs_2021">'[1]I. Table 6 (cont.)'!$Y$11</definedName>
    <definedName name="tvl_barbering_nc2_f_psrs_2021">'[1]I. Table 6'!$AQ$11</definedName>
    <definedName name="tvl_barbering_nc2_f_tkrs_2021">'[1]I. Table 6'!$AE$11</definedName>
    <definedName name="tvl_barbering_nc2_m_psrs_2021">'[1]I. Table 6'!$AK$11</definedName>
    <definedName name="tvl_barbering_nc2_m_tkrs_2021">'[1]I. Table 6'!$Y$11</definedName>
    <definedName name="tvl_bartending_nc2_f_psrs_2021">'[1]I. Table 6'!$AQ$12</definedName>
    <definedName name="tvl_bartending_nc2_f_tkrs_2021">'[1]I. Table 6'!$AE$12</definedName>
    <definedName name="tvl_bartending_nc2_m_psrs_2021">'[1]I. Table 6'!$AK$12</definedName>
    <definedName name="tvl_bartending_nc2_m_tkrs_2021">'[1]I. Table 6'!$Y$12</definedName>
    <definedName name="tvl_beautynnail_nc2_f_psrs_2021">'[1]I. Table 6'!$AQ$13</definedName>
    <definedName name="tvl_beautynnail_nc2_f_tkrs_2021">'[1]I. Table 6'!$AE$13</definedName>
    <definedName name="tvl_beautynnail_nc2_m_psrs_2021">'[1]I. Table 6'!$AK$13</definedName>
    <definedName name="tvl_beautynnail_nc2_m_tkrs_2021">'[1]I. Table 6'!$Y$13</definedName>
    <definedName name="tvl_breadpastry_nc2_f_psrs_2021">'[1]I. Table 6'!$AQ$14</definedName>
    <definedName name="tvl_breadpastry_nc2_f_tkrs_2021">'[1]I. Table 6'!$AE$14</definedName>
    <definedName name="tvl_breadpastry_nc2_m_psrs_2021">'[1]I. Table 6'!$AK$14</definedName>
    <definedName name="tvl_breadpastry_nc2_m_tkrs_2021">'[1]I. Table 6'!$Y$14</definedName>
    <definedName name="tvl_broadbandinsatallation_nc2_f_psrs_2021">'[1]I. Table 6 (cont.)'!$AQ$39</definedName>
    <definedName name="tvl_broadbandinsatallation_nc2_f_tkrs_2021">'[1]I. Table 6 (cont.)'!$AE$39</definedName>
    <definedName name="tvl_broadbandinsatallation_nc2_m_psrs_2021">'[1]I. Table 6 (cont.)'!$AK$39</definedName>
    <definedName name="tvl_broadbandinsatallation_nc2_m_tkrs_2021">'[1]I. Table 6 (cont.)'!$Y$39</definedName>
    <definedName name="tvl_caregiving_nc2_f_psrs_2021">'[1]I. Table 6'!$AQ$15</definedName>
    <definedName name="tvl_caregiving_nc2_f_tkrs_2021">'[1]I. Table 6'!$AE$15</definedName>
    <definedName name="tvl_caregiving_nc2_m_psrs_2021">'[1]I. Table 6'!$AK$15</definedName>
    <definedName name="tvl_caregiving_nc2_m_tkrs_2021">'[1]I. Table 6'!$Y$15</definedName>
    <definedName name="tvl_carpentry_nc2_f_psrs_2021">'[1]I. Table 6 (cont.)'!$AQ$12</definedName>
    <definedName name="tvl_carpentry_nc2_f_tkrs_2021">'[1]I. Table 6 (cont.)'!$AE$12</definedName>
    <definedName name="tvl_carpentry_nc2_m_psrs_2021">'[1]I. Table 6 (cont.)'!$AK$12</definedName>
    <definedName name="tvl_carpentry_nc2_m_tkrs_2021">'[1]I. Table 6 (cont.)'!$Y$12</definedName>
    <definedName name="tvl_carpentry_nc3_f_psrs_2021">'[1]I. Table 6 (cont.)'!$AQ$13</definedName>
    <definedName name="tvl_carpentry_nc3_f_tkrs_2021">'[1]I. Table 6 (cont.)'!$AE$13</definedName>
    <definedName name="tvl_carpentry_nc3_m_psrs_2021">'[1]I. Table 6 (cont.)'!$AK$13</definedName>
    <definedName name="tvl_carpentry_nc3_m_tkrs_2021">'[1]I. Table 6 (cont.)'!$Y$13</definedName>
    <definedName name="tvl_commercialcooking_nc2_f_psrs_2021">'[1]I. Table 6'!$AQ$16</definedName>
    <definedName name="tvl_commercialcooking_nc2_f_tkrs_2021">'[1]I. Table 6'!$AE$16</definedName>
    <definedName name="tvl_commercialcooking_nc2_m_psrs_2021">'[1]I. Table 6'!$AK$16</definedName>
    <definedName name="tvl_commercialcooking_nc2_m_tkrs_2021">'[1]I. Table 6'!$Y$16</definedName>
    <definedName name="tvl_compprogrammingjava_nc3_f_psrs_2021">'[1]I. Table 6 (cont.)'!$AQ$41</definedName>
    <definedName name="tvl_compprogrammingjava_nc3_f_tkrs_2021">'[1]I. Table 6 (cont.)'!$AE$41</definedName>
    <definedName name="tvl_compprogrammingjava_nc3_m_psrs_2021">'[1]I. Table 6 (cont.)'!$AK$41</definedName>
    <definedName name="tvl_compprogrammingjava_nc3_m_tkrs_2021">'[1]I. Table 6 (cont.)'!$Y$41</definedName>
    <definedName name="tvl_compprogrammingnettech_nc3_f_psrs_2021">'[1]I. Table 6 (cont.)'!$AQ$40</definedName>
    <definedName name="tvl_compprogrammingnettech_nc3_f_tkrs_2021">'[1]I. Table 6 (cont.)'!$AE$40</definedName>
    <definedName name="tvl_compprogrammingnettech_nc3_m_psrs_2021">'[1]I. Table 6 (cont.)'!$AK$40</definedName>
    <definedName name="tvl_compprogrammingnettech_nc3_m_tkrs_2021">'[1]I. Table 6 (cont.)'!$Y$40</definedName>
    <definedName name="tvl_compprogrammingoracle_nc3_f_psrs_2021">'[1]I. Table 6 (cont.)'!$AQ$42</definedName>
    <definedName name="tvl_compprogrammingoracle_nc3_f_tkrs_2021">'[1]I. Table 6 (cont.)'!$AE$42</definedName>
    <definedName name="tvl_compprogrammingoracle_nc3_m_psrs_2021">'[1]I. Table 6 (cont.)'!$AK$42</definedName>
    <definedName name="tvl_compprogrammingoracle_nc3_m_tkrs_2021">'[1]I. Table 6 (cont.)'!$Y$42</definedName>
    <definedName name="tvl_compsystemservicing_nc2_f_psrs_2021">'[1]I. Table 6 (cont.)'!$AQ$43</definedName>
    <definedName name="tvl_compsystemservicing_nc2_f_tkrs_2021">'[1]I. Table 6 (cont.)'!$AE$43</definedName>
    <definedName name="tvl_compsystemservicing_nc2_m_psrs_2021">'[1]I. Table 6 (cont.)'!$AK$43</definedName>
    <definedName name="tvl_compsystemservicing_nc2_m_tkrs_2021">'[1]I. Table 6 (cont.)'!$Y$43</definedName>
    <definedName name="tvl_constructionpainting_nc2_f_psrs_2021">'[1]I. Table 6 (cont.)'!$AQ$14</definedName>
    <definedName name="tvl_constructionpainting_nc2_f_tkrs_2021">'[1]I. Table 6 (cont.)'!$AE$14</definedName>
    <definedName name="tvl_constructionpainting_nc2_m_psrs_2021">'[1]I. Table 6 (cont.)'!$AK$14</definedName>
    <definedName name="tvl_constructionpainting_nc2_m_tkrs_2021">'[1]I. Table 6 (cont.)'!$Y$14</definedName>
    <definedName name="tvl_contactcenterservices_nc2_f_psrs_2021">'[1]I. Table 6 (cont.)'!$AQ$44</definedName>
    <definedName name="tvl_contactcenterservices_nc2_f_tkrs_2021">'[1]I. Table 6 (cont.)'!$AE$44</definedName>
    <definedName name="tvl_contactcenterservices_nc2_m_psrs_2021">'[1]I. Table 6 (cont.)'!$AK$44</definedName>
    <definedName name="tvl_contactcenterservices_nc2_m_tkrs_2021">'[1]I. Table 6 (cont.)'!$Y$44</definedName>
    <definedName name="tvl_cookery_nc2_f_psrs_2021">'[1]I. Table 6'!$AQ$17</definedName>
    <definedName name="tvl_cookery_nc2_f_tkrs_2021">'[1]I. Table 6'!$AE$17</definedName>
    <definedName name="tvl_cookery_nc2_m_psrs_2021">'[1]I. Table 6'!$AK$17</definedName>
    <definedName name="tvl_cookery_nc2_m_tkrs_2021">'[1]I. Table 6'!$Y$17</definedName>
    <definedName name="tvl_domrefrigeration_nc2_f_psrs_2021">'[1]I. Table 6 (cont.)'!$AQ$15</definedName>
    <definedName name="tvl_domrefrigeration_nc2_f_tkrs_2021">'[1]I. Table 6 (cont.)'!$AE$15</definedName>
    <definedName name="tvl_domrefrigeration_nc2_m_psrs_2021">'[1]I. Table 6 (cont.)'!$AK$15</definedName>
    <definedName name="tvl_domrefrigeration_nc2_m_tkrs_2021">'[1]I. Table 6 (cont.)'!$Y$15</definedName>
    <definedName name="tvl_dressmaking_nc2_f_psrs_2021">'[1]I. Table 6'!$AQ$18</definedName>
    <definedName name="tvl_dressmaking_nc2_f_tkrs_2021">'[1]I. Table 6'!$AE$18</definedName>
    <definedName name="tvl_dressmaking_nc2_m_psrs_2021">'[1]I. Table 6'!$AK$18</definedName>
    <definedName name="tvl_dressmaking_nc2_m_tkrs_2021">'[1]I. Table 6'!$Y$18</definedName>
    <definedName name="tvl_driving_nc2_f_psrs_2021">'[1]I. Table 6 (cont.)'!$AQ$16</definedName>
    <definedName name="tvl_driving_nc2_f_tkrs_2021">'[1]I. Table 6 (cont.)'!$AE$16</definedName>
    <definedName name="tvl_driving_nc2_m_psrs_2021">'[1]I. Table 6 (cont.)'!$AK$16</definedName>
    <definedName name="tvl_driving_nc2_m_tkrs_2021">'[1]I. Table 6 (cont.)'!$Y$16</definedName>
    <definedName name="tvl_elecinstallation_nc2_f_psrs_2021">'[1]I. Table 6 (cont.)'!$AQ$17</definedName>
    <definedName name="tvl_elecinstallation_nc2_f_tkrs_2021">'[1]I. Table 6 (cont.)'!$AE$17</definedName>
    <definedName name="tvl_elecinstallation_nc2_m_psrs_2021">'[1]I. Table 6 (cont.)'!$AK$17</definedName>
    <definedName name="tvl_elecinstallation_nc2_m_tkrs_2021">'[1]I. Table 6 (cont.)'!$Y$17</definedName>
    <definedName name="tvl_elecpowerdist_nc2_f_psrs_2021">'[1]I. Table 6 (cont.)'!$AQ$18</definedName>
    <definedName name="tvl_elecpowerdist_nc2_f_tkrs_2021">'[1]I. Table 6 (cont.)'!$AE$18</definedName>
    <definedName name="tvl_elecpowerdist_nc2_m_psrs_2021">'[1]I. Table 6 (cont.)'!$AK$18</definedName>
    <definedName name="tvl_elecpowerdist_nc2_m_tkrs_2021">'[1]I. Table 6 (cont.)'!$Y$18</definedName>
    <definedName name="tvl_elecproduction_nc2_f_psrs_2021">'[1]I. Table 6 (cont.)'!$AQ$19</definedName>
    <definedName name="tvl_elecproduction_nc2_f_tkrs_2021">'[1]I. Table 6 (cont.)'!$AE$19</definedName>
    <definedName name="tvl_elecproduction_nc2_m_psrs_2021">'[1]I. Table 6 (cont.)'!$AK$19</definedName>
    <definedName name="tvl_elecproduction_nc2_m_tkrs_2021">'[1]I. Table 6 (cont.)'!$Y$19</definedName>
    <definedName name="tvl_enginewatch1_f_psrs_2021">'[1]I. Table 6 (cont.)'!$AQ$55</definedName>
    <definedName name="tvl_enginewatch1_f_tkrs_2021">'[1]I. Table 6 (cont.)'!$AE$55</definedName>
    <definedName name="tvl_enginewatch1_m_psrs_2021">'[1]I. Table 6 (cont.)'!$AK$55</definedName>
    <definedName name="tvl_enginewatch1_m_tkrs_2021">'[1]I. Table 6 (cont.)'!$Y$55</definedName>
    <definedName name="tvl_enginewatch2_f_psrs_2021">'[1]I. Table 6 (cont.)'!$AQ$56</definedName>
    <definedName name="tvl_enginewatch2_f_tkrs_2021">'[1]I. Table 6 (cont.)'!$AE$56</definedName>
    <definedName name="tvl_enginewatch2_m_psrs_2021">'[1]I. Table 6 (cont.)'!$AK$56</definedName>
    <definedName name="tvl_enginewatch2_m_tkrs_2021">'[1]I. Table 6 (cont.)'!$Y$56</definedName>
    <definedName name="tvl_eventsmgt_nc3_f_psrs_2021">'[1]I. Table 6'!$AQ$19</definedName>
    <definedName name="tvl_eventsmgt_nc3_f_tkrs_2021">'[1]I. Table 6'!$AE$19</definedName>
    <definedName name="tvl_eventsmgt_nc3_m_psrs_2021">'[1]I. Table 6'!$AK$19</definedName>
    <definedName name="tvl_eventsmgt_nc3_m_tkrs_2021">'[1]I. Table 6'!$Y$19</definedName>
    <definedName name="tvl_fashiondesign_nc3_f_psrs_2021">'[1]I. Table 6'!$AQ$20</definedName>
    <definedName name="tvl_fashiondesign_nc3_f_tkrs_2021">'[1]I. Table 6'!$AE$20</definedName>
    <definedName name="tvl_fashiondesign_nc3_m_psrs_2021">'[1]I. Table 6'!$AK$20</definedName>
    <definedName name="tvl_fashiondesign_nc3_m_tkrs_2021">'[1]I. Table 6'!$Y$20</definedName>
    <definedName name="tvl_fishcapture_nc2_f_psrs_2021">'[1]I. Table 6'!$AQ$46</definedName>
    <definedName name="tvl_fishcapture_nc2_f_tkrs_2021">'[1]I. Table 6'!$AE$46</definedName>
    <definedName name="tvl_fishcapture_nc2_m_psrs_2021">'[1]I. Table 6'!$AK$46</definedName>
    <definedName name="tvl_fishcapture_nc2_m_tkrs_2021">'[1]I. Table 6'!$Y$46</definedName>
    <definedName name="tvl_fishinggearrepair_nc3_f_psrs_2021">'[1]I. Table 6'!$AQ$47</definedName>
    <definedName name="tvl_fishinggearrepair_nc3_f_tkrs_2021">'[1]I. Table 6'!$AE$47</definedName>
    <definedName name="tvl_fishinggearrepair_nc3_m_psrs_2021">'[1]I. Table 6'!$AK$47</definedName>
    <definedName name="tvl_fishinggearrepair_nc3_m_tkrs_2021">'[1]I. Table 6'!$Y$47</definedName>
    <definedName name="tvl_fishproductspackaging_nc2_f_psrs_2021">'[1]I. Table 6'!$AQ$48</definedName>
    <definedName name="tvl_fishproductspackaging_nc2_f_tkrs_2021">'[1]I. Table 6'!$AE$48</definedName>
    <definedName name="tvl_fishproductspackaging_nc2_m_psrs_2021">'[1]I. Table 6'!$AK$48</definedName>
    <definedName name="tvl_fishproductspackaging_nc2_m_tkrs_2021">'[1]I. Table 6'!$Y$48</definedName>
    <definedName name="tvl_fishwharfop_nc1_f_psrs_2021">'[1]I. Table 6'!$AQ$49</definedName>
    <definedName name="tvl_fishwharfop_nc1_f_tkrs_2021">'[1]I. Table 6'!$AE$49</definedName>
    <definedName name="tvl_fishwharfop_nc1_m_psrs_2021">'[1]I. Table 6'!$AK$49</definedName>
    <definedName name="tvl_fishwharfop_nc1_m_tkrs_2021">'[1]I. Table 6'!$Y$49</definedName>
    <definedName name="tvl_foodnbeverage_nc2_f_psrs_2021">'[1]I. Table 6'!$AQ$21</definedName>
    <definedName name="tvl_foodnbeverage_nc2_f_tkrs_2021">'[1]I. Table 6'!$AE$21</definedName>
    <definedName name="tvl_foodnbeverage_nc2_m_psrs_2021">'[1]I. Table 6'!$AK$21</definedName>
    <definedName name="tvl_foodnbeverage_nc2_m_tkrs_2021">'[1]I. Table 6'!$Y$21</definedName>
    <definedName name="tvl_foodprocessing_nc2_f_psrs_2021">'[1]I. Table 6'!$AQ$50</definedName>
    <definedName name="tvl_foodprocessing_nc2_f_tkrs_2021">'[1]I. Table 6'!$AE$50</definedName>
    <definedName name="tvl_foodprocessing_nc2_m_psrs_2021">'[1]I. Table 6'!$AK$50</definedName>
    <definedName name="tvl_foodprocessing_nc2_m_tkrs_2021">'[1]I. Table 6'!$Y$50</definedName>
    <definedName name="tvl_frontoffice_nc2_f_psrs_2021">'[1]I. Table 6'!$AQ$22</definedName>
    <definedName name="tvl_frontoffice_nc2_f_tkrs_2021">'[1]I. Table 6'!$AE$22</definedName>
    <definedName name="tvl_frontoffice_nc2_m_psrs_2021">'[1]I. Table 6'!$AK$22</definedName>
    <definedName name="tvl_frontoffice_nc2_m_tkrs_2021">'[1]I. Table 6'!$Y$22</definedName>
    <definedName name="tvl_furnituremaking_nc2_f_psrs_2021">'[1]I. Table 6 (cont.)'!$AQ$20</definedName>
    <definedName name="tvl_furnituremaking_nc2_f_tkrs_2021">'[1]I. Table 6 (cont.)'!$AE$20</definedName>
    <definedName name="tvl_furnituremaking_nc2_m_psrs_2021">'[1]I. Table 6 (cont.)'!$AK$20</definedName>
    <definedName name="tvl_furnituremaking_nc2_m_tkrs_2021">'[1]I. Table 6 (cont.)'!$Y$20</definedName>
    <definedName name="tvl_gasmetalwelding_nc2_f_psrs_2021">'[1]I. Table 6 (cont.)'!$AQ$22</definedName>
    <definedName name="tvl_gasmetalwelding_nc2_f_tkrs_2021">'[1]I. Table 6 (cont.)'!$AE$22</definedName>
    <definedName name="tvl_gasmetalwelding_nc2_m_psrs_2021">'[1]I. Table 6 (cont.)'!$AK$22</definedName>
    <definedName name="tvl_gasmetalwelding_nc2_m_tkrs_2021">'[1]I. Table 6 (cont.)'!$Y$22</definedName>
    <definedName name="tvl_gastungstenwelding_nc2_f_psrs_2021">'[1]I. Table 6 (cont.)'!$AQ$23</definedName>
    <definedName name="tvl_gastungstenwelding_nc2_f_tkrs_2021">'[1]I. Table 6 (cont.)'!$AE$23</definedName>
    <definedName name="tvl_gastungstenwelding_nc2_m_psrs_2021">'[1]I. Table 6 (cont.)'!$AK$23</definedName>
    <definedName name="tvl_gastungstenwelding_nc2_m_tkrs_2021">'[1]I. Table 6 (cont.)'!$Y$23</definedName>
    <definedName name="tvl_hairdressing_nc2_f_psrs_2021">'[1]I. Table 6'!$AQ$23</definedName>
    <definedName name="tvl_hairdressing_nc2_f_tkrs_2021">'[1]I. Table 6'!$AE$23</definedName>
    <definedName name="tvl_hairdressing_nc2_m_psrs_2021">'[1]I. Table 6'!$AK$23</definedName>
    <definedName name="tvl_hairdressing_nc2_m_tkrs_2021">'[1]I. Table 6'!$Y$23</definedName>
    <definedName name="tvl_hairdressing_nc3_f_psrs_2021">'[1]I. Table 6'!$AQ$24</definedName>
    <definedName name="tvl_hairdressing_nc3_f_tkrs_2021">'[1]I. Table 6'!$AE$24</definedName>
    <definedName name="tvl_hairdressing_nc3_m_psrs_2021">'[1]I. Table 6'!$AK$24</definedName>
    <definedName name="tvl_hairdressing_nc3_m_tkrs_2021">'[1]I. Table 6'!$Y$24</definedName>
    <definedName name="tvl_handibasketry_nonnc_f_psrs_2021">'[1]I. Table 6'!$AQ$25</definedName>
    <definedName name="tvl_handibasketry_nonnc_f_tkrs_2021">'[1]I. Table 6'!$AE$25</definedName>
    <definedName name="tvl_handibasketry_nonnc_m_psrs_2021">'[1]I. Table 6'!$AK$25</definedName>
    <definedName name="tvl_handibasketry_nonnc_m_tkrs_2021">'[1]I. Table 6'!$Y$25</definedName>
    <definedName name="tvl_handifashion_nonnc_f_psrs_2021">'[1]I. Table 6'!$AQ$26</definedName>
    <definedName name="tvl_handifashion_nonnc_f_tkrs_2021">'[1]I. Table 6'!$AE$26</definedName>
    <definedName name="tvl_handifashion_nonnc_m_psrs_2021">'[1]I. Table 6'!$AK$26</definedName>
    <definedName name="tvl_handifashion_nonnc_m_tkrs_2021">'[1]I. Table 6'!$Y$26</definedName>
    <definedName name="tvl_handineedlecraft_nonnc_f_psrs_2021">'[1]I. Table 6'!$AQ$27</definedName>
    <definedName name="tvl_handineedlecraft_nonnc_f_tkrs_2021">'[1]I. Table 6'!$AE$27</definedName>
    <definedName name="tvl_handineedlecraft_nonnc_m_psrs_2021">'[1]I. Table 6'!$AK$27</definedName>
    <definedName name="tvl_handineedlecraft_nonnc_m_tkrs_2021">'[1]I. Table 6'!$Y$27</definedName>
    <definedName name="tvl_handiwoodcraft_nonnc_f_psrs_2021">'[1]I. Table 6'!$AQ$28</definedName>
    <definedName name="tvl_handiwoodcraft_nonnc_f_tkrs_2021">'[1]I. Table 6'!$AE$28</definedName>
    <definedName name="tvl_handiwoodcraft_nonnc_m_psrs_2021">'[1]I. Table 6'!$AK$28</definedName>
    <definedName name="tvl_handiwoodcraft_nonnc_m_tkrs_2021">'[1]I. Table 6'!$Y$28</definedName>
    <definedName name="tvl_horticulture_nc3_f_psrs_2021">'[1]I. Table 6'!$AQ$51</definedName>
    <definedName name="tvl_horticulture_nc3_f_tkrs_2021">'[1]I. Table 6'!$AE$51</definedName>
    <definedName name="tvl_horticulture_nc3_m_psrs_2021">'[1]I. Table 6'!$AK$51</definedName>
    <definedName name="tvl_horticulture_nc3_m_tkrs_2021">'[1]I. Table 6'!$Y$51</definedName>
    <definedName name="tvl_housekeeping_nc2_f_psrs_2021">'[1]I. Table 6'!$AQ$29</definedName>
    <definedName name="tvl_housekeeping_nc2_f_tkrs_2021">'[1]I. Table 6'!$AE$29</definedName>
    <definedName name="tvl_housekeeping_nc2_m_psrs_2021">'[1]I. Table 6'!$AK$29</definedName>
    <definedName name="tvl_housekeeping_nc2_m_tkrs_2021">'[1]I. Table 6'!$Y$29</definedName>
    <definedName name="tvl_illustration_nc2_f_psrs_2021">'[1]I. Table 6 (cont.)'!$AQ$45</definedName>
    <definedName name="tvl_illustration_nc2_f_tkrs_2021">'[1]I. Table 6 (cont.)'!$AE$45</definedName>
    <definedName name="tvl_illustration_nc2_m_psrs_2021">'[1]I. Table 6 (cont.)'!$AK$45</definedName>
    <definedName name="tvl_illustration_nc2_m_tkrs_2021">'[1]I. Table 6 (cont.)'!$Y$45</definedName>
    <definedName name="tvl_instncontrol_nc2_f_psrs_2021">'[1]I. Table 6 (cont.)'!$AQ$21</definedName>
    <definedName name="tvl_instncontrol_nc2_f_tkrs_2021">'[1]I. Table 6 (cont.)'!$AE$21</definedName>
    <definedName name="tvl_instncontrol_nc2_m_psrs_2021">'[1]I. Table 6 (cont.)'!$AK$21</definedName>
    <definedName name="tvl_instncontrol_nc2_m_tkrs_2021">'[1]I. Table 6 (cont.)'!$Y$21</definedName>
    <definedName name="tvl_landscapeinstallation_nc2_f_psrs_2021">'[1]I. Table 6'!$AQ$52</definedName>
    <definedName name="tvl_landscapeinstallation_nc2_f_tkrs_2021">'[1]I. Table 6'!$AE$52</definedName>
    <definedName name="tvl_landscapeinstallation_nc2_m_psrs_2021">'[1]I. Table 6'!$AK$52</definedName>
    <definedName name="tvl_landscapeinstallation_nc2_m_tkrs_2021">'[1]I. Table 6'!$Y$52</definedName>
    <definedName name="tvl_localguiding_nc2_f_psrs_2021">'[1]I. Table 6'!$AQ$30</definedName>
    <definedName name="tvl_localguiding_nc2_f_tkrs_2021">'[1]I. Table 6'!$AE$30</definedName>
    <definedName name="tvl_localguiding_nc2_m_psrs_2021">'[1]I. Table 6'!$AK$30</definedName>
    <definedName name="tvl_localguiding_nc2_m_tkrs_2021">'[1]I. Table 6'!$Y$30</definedName>
    <definedName name="tvl_machining_nc1_f_psrs_2021">'[1]I. Table 6 (cont.)'!$AQ$24</definedName>
    <definedName name="tvl_machining_nc1_f_tkrs_2021">'[1]I. Table 6 (cont.)'!$AE$24</definedName>
    <definedName name="tvl_machining_nc1_m_psrs_2021">'[1]I. Table 6 (cont.)'!$AK$24</definedName>
    <definedName name="tvl_machining_nc1_m_tkrs_2021">'[1]I. Table 6 (cont.)'!$Y$24</definedName>
    <definedName name="tvl_machining_nc2_f_psrs_2021">'[1]I. Table 6 (cont.)'!$AQ$25</definedName>
    <definedName name="tvl_machining_nc2_f_tkrs_2021">'[1]I. Table 6 (cont.)'!$AE$25</definedName>
    <definedName name="tvl_machining_nc2_m_psrs_2021">'[1]I. Table 6 (cont.)'!$AK$25</definedName>
    <definedName name="tvl_machining_nc2_m_tkrs_2021">'[1]I. Table 6 (cont.)'!$Y$25</definedName>
    <definedName name="tvl_masonry_nc2_f_psrs_2021">'[1]I. Table 6 (cont.)'!$AQ$26</definedName>
    <definedName name="tvl_masonry_nc2_f_tkrs_2021">'[1]I. Table 6 (cont.)'!$AE$26</definedName>
    <definedName name="tvl_masonry_nc2_m_psrs_2021">'[1]I. Table 6 (cont.)'!$AK$26</definedName>
    <definedName name="tvl_masonry_nc2_m_tkrs_2021">'[1]I. Table 6 (cont.)'!$Y$26</definedName>
    <definedName name="tvl_mechservicing_nc2_f_psrs_2021">'[1]I. Table 6 (cont.)'!$AQ$27</definedName>
    <definedName name="tvl_mechservicing_nc2_f_tkrs_2021">'[1]I. Table 6 (cont.)'!$AE$27</definedName>
    <definedName name="tvl_mechservicing_nc2_m_psrs_2021">'[1]I. Table 6 (cont.)'!$AK$27</definedName>
    <definedName name="tvl_mechservicing_nc2_m_tkrs_2021">'[1]I. Table 6 (cont.)'!$Y$27</definedName>
    <definedName name="tvl_medicaltranscription_nc2_f_psrs_2021">'[1]I. Table 6 (cont.)'!$AQ$46</definedName>
    <definedName name="tvl_medicaltranscription_nc2_f_tkrs_2021">'[1]I. Table 6 (cont.)'!$AE$46</definedName>
    <definedName name="tvl_medicaltranscription_nc2_m_psrs_2021">'[1]I. Table 6 (cont.)'!$AK$46</definedName>
    <definedName name="tvl_medicaltranscription_nc2_m_tkrs_2021">'[1]I. Table 6 (cont.)'!$Y$46</definedName>
    <definedName name="tvl_motorcyclservicing_nc2_f_psrs_2021">'[1]I. Table 6 (cont.)'!$AQ$28</definedName>
    <definedName name="tvl_motorcyclservicing_nc2_f_tkrs_2021">'[1]I. Table 6 (cont.)'!$AE$28</definedName>
    <definedName name="tvl_motorcyclservicing_nc2_m_psrs_2021">'[1]I. Table 6 (cont.)'!$AK$28</definedName>
    <definedName name="tvl_motorcyclservicing_nc2_m_tkrs_2021">'[1]I. Table 6 (cont.)'!$Y$28</definedName>
    <definedName name="tvl_navigationalwatch1_f_psrs_2021">'[1]I. Table 6 (cont.)'!$AQ$52</definedName>
    <definedName name="tvl_navigationalwatch1_f_tkrs_2021">'[1]I. Table 6 (cont.)'!$AE$52</definedName>
    <definedName name="tvl_navigationalwatch1_m_psrs_2021">'[1]I. Table 6 (cont.)'!$AK$52</definedName>
    <definedName name="tvl_navigationalwatch1_m_tkrs_2021">'[1]I. Table 6 (cont.)'!$Y$52</definedName>
    <definedName name="tvl_navigationalwatch2_f_psrs_2021">'[1]I. Table 6 (cont.)'!$AQ$53</definedName>
    <definedName name="tvl_navigationalwatch2_f_tkrs_2021">'[1]I. Table 6 (cont.)'!$AE$53</definedName>
    <definedName name="tvl_navigationalwatch2_m_psrs_2021">'[1]I. Table 6 (cont.)'!$AK$53</definedName>
    <definedName name="tvl_navigationalwatch2_m_tkrs_2021">'[1]I. Table 6 (cont.)'!$Y$53</definedName>
    <definedName name="tvl_navigationalwatch3_f_psrs_2021">'[1]I. Table 6 (cont.)'!$AQ$54</definedName>
    <definedName name="tvl_navigationalwatch3_f_tkrs_2021">'[1]I. Table 6 (cont.)'!$AE$54</definedName>
    <definedName name="tvl_navigationalwatch3_m_psrs_2021">'[1]I. Table 6 (cont.)'!$AK$54</definedName>
    <definedName name="tvl_navigationalwatch3_m_tkrs_2021">'[1]I. Table 6 (cont.)'!$Y$54</definedName>
    <definedName name="tvl_organicagri_nc2_f_psrs_2021">'[1]I. Table 6'!$AQ$53</definedName>
    <definedName name="tvl_organicagri_nc2_f_tkrs_2021">'[1]I. Table 6'!$AE$53</definedName>
    <definedName name="tvl_organicagri_nc2_m_psrs_2021">'[1]I. Table 6'!$AK$53</definedName>
    <definedName name="tvl_organicagri_nc2_m_tkrs_2021">'[1]I. Table 6'!$Y$53</definedName>
    <definedName name="tvl_pestmgt_nc2_f_psrs_2021">'[1]I. Table 6'!$AQ$54</definedName>
    <definedName name="tvl_pestmgt_nc2_f_tkrs_2021">'[1]I. Table 6'!$AE$54</definedName>
    <definedName name="tvl_pestmgt_nc2_m_psrs_2021">'[1]I. Table 6'!$AK$54</definedName>
    <definedName name="tvl_pestmgt_nc2_m_tkrs_2021">'[1]I. Table 6'!$Y$54</definedName>
    <definedName name="tvl_plumbing_nc1_f_psrs_2021">'[1]I. Table 6 (cont.)'!$AQ$29</definedName>
    <definedName name="tvl_plumbing_nc1_f_tkrs_2021">'[1]I. Table 6 (cont.)'!$AE$29</definedName>
    <definedName name="tvl_plumbing_nc1_m_psrs_2021">'[1]I. Table 6 (cont.)'!$AK$29</definedName>
    <definedName name="tvl_plumbing_nc1_m_tkrs_2021">'[1]I. Table 6 (cont.)'!$Y$29</definedName>
    <definedName name="tvl_plumbing_nc2_f_psrs_2021">'[1]I. Table 6 (cont.)'!$AQ$30</definedName>
    <definedName name="tvl_plumbing_nc2_f_tkrs_2021">'[1]I. Table 6 (cont.)'!$AE$30</definedName>
    <definedName name="tvl_plumbing_nc2_m_psrs_2021">'[1]I. Table 6 (cont.)'!$AK$30</definedName>
    <definedName name="tvl_plumbing_nc2_m_tkrs_2021">'[1]I. Table 6 (cont.)'!$Y$30</definedName>
    <definedName name="tvl_refnairconservicing_nc3_f_psrs_2021">'[1]I. Table 6 (cont.)'!$AQ$31</definedName>
    <definedName name="tvl_refnairconservicing_nc3_f_tkrs_2021">'[1]I. Table 6 (cont.)'!$AE$31</definedName>
    <definedName name="tvl_refnairconservicing_nc3_m_psrs_2021">'[1]I. Table 6 (cont.)'!$AK$31</definedName>
    <definedName name="tvl_refnairconservicing_nc3_m_tkrs_2021">'[1]I. Table 6 (cont.)'!$Y$31</definedName>
    <definedName name="tvl_ricemachinery_nc2_f_psrs_2021">'[1]I. Table 6'!$AQ$55</definedName>
    <definedName name="tvl_ricemachinery_nc2_f_tkrs_2021">'[1]I. Table 6'!$AE$55</definedName>
    <definedName name="tvl_ricemachinery_nc2_m_psrs_2021">'[1]I. Table 6'!$AK$55</definedName>
    <definedName name="tvl_ricemachinery_nc2_m_tkrs_2021">'[1]I. Table 6'!$Y$55</definedName>
    <definedName name="tvl_rubberprocessing_nc2_f_psrs_2021">'[1]I. Table 6'!$AQ$56</definedName>
    <definedName name="tvl_rubberprocessing_nc2_f_tkrs_2021">'[1]I. Table 6'!$AE$56</definedName>
    <definedName name="tvl_rubberprocessing_nc2_m_psrs_2021">'[1]I. Table 6'!$AK$56</definedName>
    <definedName name="tvl_rubberprocessing_nc2_m_tkrs_2021">'[1]I. Table 6'!$Y$56</definedName>
    <definedName name="tvl_rubberproduction_nc2_f_psrs_2021">'[1]I. Table 6'!$AQ$57</definedName>
    <definedName name="tvl_rubberproduction_nc2_f_tkrs_2021">'[1]I. Table 6'!$AE$57</definedName>
    <definedName name="tvl_rubberproduction_nc2_m_psrs_2021">'[1]I. Table 6'!$AK$57</definedName>
    <definedName name="tvl_rubberproduction_nc2_m_tkrs_2021">'[1]I. Table 6'!$Y$57</definedName>
    <definedName name="tvl_safety1_f_psrs_2021">'[1]I. Table 6 (cont.)'!$AQ$57</definedName>
    <definedName name="tvl_safety1_f_tkrs_2021">'[1]I. Table 6 (cont.)'!$AE$57</definedName>
    <definedName name="tvl_safety1_m_psrs_2021">'[1]I. Table 6 (cont.)'!$AK$57</definedName>
    <definedName name="tvl_safety1_m_tkrs_2021">'[1]I. Table 6 (cont.)'!$Y$57</definedName>
    <definedName name="tvl_safety2_f_psrs_2021">'[1]I. Table 6 (cont.)'!$AQ$58</definedName>
    <definedName name="tvl_safety2_f_tkrs_2021">'[1]I. Table 6 (cont.)'!$AE$58</definedName>
    <definedName name="tvl_safety2_m_psrs_2021">'[1]I. Table 6 (cont.)'!$AK$58</definedName>
    <definedName name="tvl_safety2_m_tkrs_2021">'[1]I. Table 6 (cont.)'!$Y$58</definedName>
    <definedName name="tvl_shieldedmetalwelding_nc1_f_psrs_2021">'[1]I. Table 6 (cont.)'!$AQ$33</definedName>
    <definedName name="tvl_shieldedmetalwelding_nc1_f_tkrs_2021">'[1]I. Table 6 (cont.)'!$AE$33</definedName>
    <definedName name="tvl_shieldedmetalwelding_nc1_m_psrs_2021">'[1]I. Table 6 (cont.)'!$AK$33</definedName>
    <definedName name="tvl_shieldedmetalwelding_nc1_m_tkrs_2021">'[1]I. Table 6 (cont.)'!$Y$33</definedName>
    <definedName name="tvl_shieldedmetalwelding_nc2_f_psrs_2021">'[1]I. Table 6 (cont.)'!$AQ$34</definedName>
    <definedName name="tvl_shieldedmetalwelding_nc2_f_tkrs_2021">'[1]I. Table 6 (cont.)'!$AE$34</definedName>
    <definedName name="tvl_shieldedmetalwelding_nc2_m_psrs_2021">'[1]I. Table 6 (cont.)'!$AK$34</definedName>
    <definedName name="tvl_shieldedmetalwelding_nc2_m_tkrs_2021">'[1]I. Table 6 (cont.)'!$Y$34</definedName>
    <definedName name="tvl_shipcateringservices_nc1_f_psrs_2021">'[1]I. Table 6 (cont.)'!$AQ$59</definedName>
    <definedName name="tvl_shipcateringservices_nc1_f_tkrs_2021">'[1]I. Table 6 (cont.)'!$AE$59</definedName>
    <definedName name="tvl_shipcateringservices_nc1_m_psrs_2021">'[1]I. Table 6 (cont.)'!$AK$59</definedName>
    <definedName name="tvl_shipcateringservices_nc1_m_tkrs_2021">'[1]I. Table 6 (cont.)'!$Y$59</definedName>
    <definedName name="tvl_slaughteringops_nc2_f_psrs_2021">'[1]I. Table 6'!$AQ$58</definedName>
    <definedName name="tvl_slaughteringops_nc2_f_tkrs_2021">'[1]I. Table 6'!$AE$58</definedName>
    <definedName name="tvl_slaughteringops_nc2_m_psrs_2021">'[1]I. Table 6'!$AK$58</definedName>
    <definedName name="tvl_slaughteringops_nc2_m_tkrs_2021">'[1]I. Table 6'!$Y$58</definedName>
    <definedName name="tvl_tailoring_nc2_f_psrs_2021">'[1]I. Table 6'!$AQ$31</definedName>
    <definedName name="tvl_tailoring_nc2_f_tkrs_2021">'[1]I. Table 6'!$AE$31</definedName>
    <definedName name="tvl_tailoring_nc2_m_psrs_2021">'[1]I. Table 6'!$AK$31</definedName>
    <definedName name="tvl_tailoring_nc2_m_tkrs_2021">'[1]I. Table 6'!$Y$31</definedName>
    <definedName name="tvl_techdrafting_nc2_f_psrs_2021">'[1]I. Table 6 (cont.)'!$AQ$47</definedName>
    <definedName name="tvl_techdrafting_nc2_f_tkrs_2021">'[1]I. Table 6 (cont.)'!$AE$47</definedName>
    <definedName name="tvl_techdrafting_nc2_m_psrs_2021">'[1]I. Table 6 (cont.)'!$AK$47</definedName>
    <definedName name="tvl_techdrafting_nc2_m_tkrs_2021">'[1]I. Table 6 (cont.)'!$Y$47</definedName>
    <definedName name="tvl_telcomospinstfiber_nc2_f_psrs_2021">'[1]I. Table 6 (cont.)'!$AQ$50</definedName>
    <definedName name="tvl_telcomospinstfiber_nc2_f_tkrs_2021">'[1]I. Table 6 (cont.)'!$AE$50</definedName>
    <definedName name="tvl_telcomospinstfiber_nc2_m_psrs_2021">'[1]I. Table 6 (cont.)'!$AK$50</definedName>
    <definedName name="tvl_telcomospinstfiber_nc2_m_tkrs_2021">'[1]I. Table 6 (cont.)'!$Y$50</definedName>
    <definedName name="tvl_telcomospnsubslineinst_nc2_f_psrs_2021">'[1]I. Table 6 (cont.)'!$AQ$48</definedName>
    <definedName name="tvl_telcomospnsubslineinst_nc2_f_tkrs_2021">'[1]I. Table 6 (cont.)'!$AE$48</definedName>
    <definedName name="tvl_telcomospnsubslineinst_nc2_m_psrs_2021">'[1]I. Table 6 (cont.)'!$AK$48</definedName>
    <definedName name="tvl_telcomospnsubslineinst_nc2_m_tkrs_2021">'[1]I. Table 6 (cont.)'!$Y$48</definedName>
    <definedName name="tvl_tilesetting_nc2_f_psrs_2021">'[1]I. Table 6 (cont.)'!$AQ$35</definedName>
    <definedName name="tvl_tilesetting_nc2_f_tkrs_2021">'[1]I. Table 6 (cont.)'!$AE$35</definedName>
    <definedName name="tvl_tilesetting_nc2_m_psrs_2021">'[1]I. Table 6 (cont.)'!$AK$35</definedName>
    <definedName name="tvl_tilesetting_nc2_m_tkrs_2021">'[1]I. Table 6 (cont.)'!$Y$35</definedName>
    <definedName name="tvl_tourismpromotion_nc2_f_psrs_2021">'[1]I. Table 6'!$AQ$32</definedName>
    <definedName name="tvl_tourismpromotion_nc2_f_tkrs_2021">'[1]I. Table 6'!$AE$32</definedName>
    <definedName name="tvl_tourismpromotion_nc2_m_psrs_2021">'[1]I. Table 6'!$AK$32</definedName>
    <definedName name="tvl_tourismpromotion_nc2_m_tkrs_2021">'[1]I. Table 6'!$Y$32</definedName>
    <definedName name="tvl_translineinstallation_nc2_f_psrs_2021">'[1]I. Table 6 (cont.)'!$AQ$36</definedName>
    <definedName name="tvl_translineinstallation_nc2_f_tkrs_2021">'[1]I. Table 6 (cont.)'!$AE$36</definedName>
    <definedName name="tvl_translineinstallation_nc2_m_psrs_2021">'[1]I. Table 6 (cont.)'!$AK$36</definedName>
    <definedName name="tvl_translineinstallation_nc2_m_tkrs_2021">'[1]I. Table 6 (cont.)'!$Y$36</definedName>
    <definedName name="tvl_travelservices_nc2_f_psrs_2021">'[1]I. Table 6'!$AQ$33</definedName>
    <definedName name="tvl_travelservices_nc2_f_tkrs_2021">'[1]I. Table 6'!$AE$33</definedName>
    <definedName name="tvl_travelservices_nc2_m_psrs_2021">'[1]I. Table 6'!$AK$33</definedName>
    <definedName name="tvl_travelservices_nc2_m_tkrs_2021">'[1]I. Table 6'!$Y$33</definedName>
    <definedName name="tvl_wellness_nc2_f_psrs_2021">'[1]I. Table 6'!$AQ$34</definedName>
    <definedName name="tvl_wellness_nc2_f_tkrs_2021">'[1]I. Table 6'!$AE$34</definedName>
    <definedName name="tvl_wellness_nc2_m_psrs_2021">'[1]I. Table 6'!$AK$34</definedName>
    <definedName name="tvl_wellness_nc2_m_tkrs_2021">'[1]I. Table 6'!$Y$34</definedName>
    <definedName name="V">[1]list!$F$2:$F$14</definedName>
    <definedName name="VI">[1]list!$G$2:$G$9</definedName>
    <definedName name="VII">[1]list!$H$2:$H$14</definedName>
    <definedName name="VIII">[1]list!$I$2:$I$14</definedName>
    <definedName name="vv">'[1]XI. Table 2 (cont.)'!$AZ$31</definedName>
    <definedName name="work_immersion_abm_gr11_f">'[1]I. Tables 7 &amp; 8'!$S$45</definedName>
    <definedName name="work_immersion_abm_gr11_m">'[1]I. Tables 7 &amp; 8'!$P$45</definedName>
    <definedName name="work_immersion_abm_gr12_f">'[1]I. Tables 7 &amp; 8'!$Y$45</definedName>
    <definedName name="work_immersion_abm_gr12_m">'[1]I. Tables 7 &amp; 8'!$V$45</definedName>
    <definedName name="work_immersion_agrifish_gr11_f">'[1]I. Tables 7 &amp; 8'!$S$50</definedName>
    <definedName name="work_immersion_agrifish_gr11_m">'[1]I. Tables 7 &amp; 8'!$P$50</definedName>
    <definedName name="work_immersion_agrifish_gr12_f">'[1]I. Tables 7 &amp; 8'!$Y$50</definedName>
    <definedName name="work_immersion_agrifish_gr12_m">'[1]I. Tables 7 &amp; 8'!$V$50</definedName>
    <definedName name="work_immersion_artsdesign_gr11_f">'[1]I. Tables 7 &amp; 8'!$S$54</definedName>
    <definedName name="work_immersion_artsdesign_gr11_m">'[1]I. Tables 7 &amp; 8'!$P$54</definedName>
    <definedName name="work_immersion_artsdesign_gr12_f">'[1]I. Tables 7 &amp; 8'!$Y$54</definedName>
    <definedName name="work_immersion_artsdesign_gr12_m">'[1]I. Tables 7 &amp; 8'!$V$54</definedName>
    <definedName name="work_immersion_gas_gr11_f">'[1]I. Tables 7 &amp; 8'!$S$48</definedName>
    <definedName name="work_immersion_gas_gr11_m">'[1]I. Tables 7 &amp; 8'!$P$48</definedName>
    <definedName name="work_immersion_gas_gr12_f">'[1]I. Tables 7 &amp; 8'!$Y$48</definedName>
    <definedName name="work_immersion_gas_gr12_m">'[1]I. Tables 7 &amp; 8'!$V$48</definedName>
    <definedName name="work_immersion_he_gr11_f">'[1]I. Tables 7 &amp; 8'!$S$51</definedName>
    <definedName name="work_immersion_he_gr11_m">'[1]I. Tables 7 &amp; 8'!$P$51</definedName>
    <definedName name="work_immersion_he_gr12_f">'[1]I. Tables 7 &amp; 8'!$Y$51</definedName>
    <definedName name="work_immersion_he_gr12_m">'[1]I. Tables 7 &amp; 8'!$V$51</definedName>
    <definedName name="work_immersion_humss_gr11_f">'[1]I. Tables 7 &amp; 8'!$S$47</definedName>
    <definedName name="work_immersion_humss_gr11_m">'[1]I. Tables 7 &amp; 8'!$P$47</definedName>
    <definedName name="work_immersion_humss_gr12_f">'[1]I. Tables 7 &amp; 8'!$Y$47</definedName>
    <definedName name="work_immersion_humss_gr12_m">'[1]I. Tables 7 &amp; 8'!$V$47</definedName>
    <definedName name="work_immersion_ict_gr11_f">'[1]I. Tables 7 &amp; 8'!$S$53</definedName>
    <definedName name="work_immersion_ict_gr11_m">'[1]I. Tables 7 &amp; 8'!$P$53</definedName>
    <definedName name="work_immersion_ict_gr12_f">'[1]I. Tables 7 &amp; 8'!$Y$53</definedName>
    <definedName name="work_immersion_ict_gr12_m">'[1]I. Tables 7 &amp; 8'!$V$53</definedName>
    <definedName name="work_immersion_induarts_gr11_f">'[1]I. Tables 7 &amp; 8'!$S$52</definedName>
    <definedName name="work_immersion_induarts_gr11_m">'[1]I. Tables 7 &amp; 8'!$P$52</definedName>
    <definedName name="work_immersion_induarts_gr12_f">'[1]I. Tables 7 &amp; 8'!$Y$52</definedName>
    <definedName name="work_immersion_induarts_gr12_m">'[1]I. Tables 7 &amp; 8'!$V$52</definedName>
    <definedName name="work_immersion_sports_gr11_f">'[1]I. Tables 7 &amp; 8'!$S$55</definedName>
    <definedName name="work_immersion_sports_gr11_m">'[1]I. Tables 7 &amp; 8'!$P$55</definedName>
    <definedName name="work_immersion_sports_gr12_f">'[1]I. Tables 7 &amp; 8'!$Y$55</definedName>
    <definedName name="work_immersion_sports_gr12_m">'[1]I. Tables 7 &amp; 8'!$V$55</definedName>
    <definedName name="work_immersion_stem_gr11_f">'[1]I. Tables 7 &amp; 8'!$S$46</definedName>
    <definedName name="work_immersion_stem_gr11_m">'[1]I. Tables 7 &amp; 8'!$P$46</definedName>
    <definedName name="work_immersion_stem_gr12_f">'[1]I. Tables 7 &amp; 8'!$Y$46</definedName>
    <definedName name="work_immersion_stem_gr12_m">'[1]I. Tables 7 &amp; 8'!$V$46</definedName>
    <definedName name="X">[1]list!$K$2:$K$15</definedName>
    <definedName name="XI">[1]list!$L$2:$L$12</definedName>
    <definedName name="XII">[1]list!$M$2:$M$9</definedName>
    <definedName name="yeso_bkd_attend_ta_yeso_y">'[1]V. Box 4'!$AJ$25</definedName>
    <definedName name="yeso_bkd_consecutive_ta_bkd_03">'[1]V. Box 4'!$T$35</definedName>
    <definedName name="yeso_bkd_consecutive_ta_bkd_10a">'[1]V. Box 4'!$X$36</definedName>
    <definedName name="yeso_bkd_consecutive_ta_bkd_46">'[1]V. Box 4'!$X$35</definedName>
    <definedName name="yeso_bkd_consecutive_ta_bkd_79">'[1]V. Box 4'!$T$36</definedName>
    <definedName name="yeso_bkd_consecutive_ta_yeso_03">'[1]V. Box 4'!$T$25</definedName>
    <definedName name="yeso_bkd_consecutive_ta_yeso_10a">'[1]V. Box 4'!$X$26</definedName>
    <definedName name="yeso_bkd_consecutive_ta_yeso_46">'[1]V. Box 4'!$X$25</definedName>
    <definedName name="yeso_bkd_consecutive_ta_yeso_79">'[1]V. Box 4'!$T$26</definedName>
    <definedName name="yeso_bkd_designated_ta_bkd_y">'[1]V. Box 4'!$L$35</definedName>
    <definedName name="yeso_bkd_designated_ta_yeso_y">'[1]V. Box 4'!$L$25</definedName>
    <definedName name="yeso_bkd_reduced_ta_bkd_y">'[1]V. Box 4'!$AB$35</definedName>
    <definedName name="yeso_bkd_sdo_ta_bkd_y">'[1]V. Box 4'!$AJ$35</definedName>
    <definedName name="yeso_bkd_ta_yeso_reduced_yes">'[1]V. Box 4'!$AB$25</definedName>
    <definedName name="lhas_cars_facility_es" localSheetId="1">'IX. Box 1'!$AB$27</definedName>
    <definedName name="lhas_cars_facility_jhs" localSheetId="1">'IX. Box 1'!$AB$41</definedName>
    <definedName name="lhas_cars_facility_shs" localSheetId="1">'IX. Box 1'!$AB$55</definedName>
    <definedName name="lhas_cars_learners_assessed_es" localSheetId="1">'IX. Box 1'!$X$27</definedName>
    <definedName name="lhas_cars_learners_assessed_jhs" localSheetId="1">'IX. Box 1'!$X$41</definedName>
    <definedName name="lhas_cars_learners_assessed_shs" localSheetId="1">'IX. Box 1'!$X$55</definedName>
    <definedName name="lhas_cars_learners_masterlist_es" localSheetId="1">'IX. Box 1'!$P$27</definedName>
    <definedName name="lhas_cars_learners_masterlist_jhs" localSheetId="1">'IX. Box 1'!$P$41</definedName>
    <definedName name="lhas_cars_learners_masterlist_shs" localSheetId="1">'IX. Box 1'!$P$55</definedName>
    <definedName name="lhas_cars_learners_screening_es" localSheetId="1">'IX. Box 1'!$T$27</definedName>
    <definedName name="lhas_cars_learners_screening_jhs" localSheetId="1">'IX. Box 1'!$T$41</definedName>
    <definedName name="lhas_cars_learners_screening_shs" localSheetId="1">'IX. Box 1'!$T$55</definedName>
    <definedName name="lhas_cars_lgudoh_es" localSheetId="1">'IX. Box 1'!$AF$27</definedName>
    <definedName name="lhas_cars_lgudoh_jhs" localSheetId="1">'IX. Box 1'!$AF$41</definedName>
    <definedName name="lhas_cars_lgudoh_shs" localSheetId="1">'IX. Box 1'!$AF$55</definedName>
    <definedName name="lhas_cars_others_es" localSheetId="1">'IX. Box 1'!$AN$27</definedName>
    <definedName name="lhas_cars_others_jhs" localSheetId="1">'IX. Box 1'!$AN$41</definedName>
    <definedName name="lhas_cars_others_shs" localSheetId="1">'IX. Box 1'!$AN$55</definedName>
    <definedName name="lhas_cars_private_es" localSheetId="1">'IX. Box 1'!$AJ$27</definedName>
    <definedName name="lhas_cars_private_jhs" localSheetId="1">'IX. Box 1'!$AJ$41</definedName>
    <definedName name="lhas_cars_private_shs" localSheetId="1">'IX. Box 1'!$AJ$55</definedName>
    <definedName name="lhas_heeadsss_facility_es" localSheetId="1">'IX. Box 1'!$AB$29</definedName>
    <definedName name="lhas_heeadsss_facility_jhs" localSheetId="1">'IX. Box 1'!$AB$43</definedName>
    <definedName name="lhas_heeadsss_facility_shs" localSheetId="1">'IX. Box 1'!$AB$57</definedName>
    <definedName name="lhas_heeadsss_learners_assessed_es" localSheetId="1">'IX. Box 1'!$X$29</definedName>
    <definedName name="lhas_heeadsss_learners_assessed_jhs" localSheetId="1">'IX. Box 1'!$X$43</definedName>
    <definedName name="lhas_heeadsss_learners_assessed_shs" localSheetId="1">'IX. Box 1'!$X$57</definedName>
    <definedName name="lhas_heeadsss_learners_masterlist_es" localSheetId="1">'IX. Box 1'!$P$29</definedName>
    <definedName name="lhas_heeadsss_learners_masterlist_jhs" localSheetId="1">'IX. Box 1'!$P$43</definedName>
    <definedName name="lhas_heeadsss_learners_masterlist_shs" localSheetId="1">'IX. Box 1'!$P$57</definedName>
    <definedName name="lhas_heeadsss_learners_screening_es" localSheetId="1">'IX. Box 1'!$T$29</definedName>
    <definedName name="lhas_heeadsss_learners_screening_jhs" localSheetId="1">'IX. Box 1'!$T$43</definedName>
    <definedName name="lhas_heeadsss_learners_screening_shs" localSheetId="1">'IX. Box 1'!$T$57</definedName>
    <definedName name="lhas_heeadsss_lgudoh_es" localSheetId="1">'IX. Box 1'!$AF$29</definedName>
    <definedName name="lhas_heeadsss_lgudoh_jhs" localSheetId="1">'IX. Box 1'!$AF$43</definedName>
    <definedName name="lhas_heeadsss_lgudoh_shs" localSheetId="1">'IX. Box 1'!$AF$57</definedName>
    <definedName name="lhas_heeadsss_others_es" localSheetId="1">'IX. Box 1'!$AN$29</definedName>
    <definedName name="lhas_heeadsss_others_jhs" localSheetId="1">'IX. Box 1'!$AN$43</definedName>
    <definedName name="lhas_heeadsss_others_shs" localSheetId="1">'IX. Box 1'!$AN$57</definedName>
    <definedName name="lhas_heeadsss_private_es" localSheetId="1">'IX. Box 1'!$AJ$29</definedName>
    <definedName name="lhas_heeadsss_private_jhs" localSheetId="1">'IX. Box 1'!$AJ$43</definedName>
    <definedName name="lhas_heeadsss_private_shs" localSheetId="1">'IX. Box 1'!$AJ$57</definedName>
    <definedName name="lhas_hhighta_facility_es" localSheetId="1">'IX. Box 1'!$AB$22</definedName>
    <definedName name="lhas_hhighta_facility_jhs" localSheetId="1">'IX. Box 1'!$AB$36</definedName>
    <definedName name="lhas_hhighta_facility_shs" localSheetId="1">'IX. Box 1'!$AB$50</definedName>
    <definedName name="lhas_hhighta_learners_assessed_es" localSheetId="1">'IX. Box 1'!$X$22</definedName>
    <definedName name="lhas_hhighta_learners_assessed_jhs" localSheetId="1">'IX. Box 1'!$X$36</definedName>
    <definedName name="lhas_hhighta_learners_assessed_shs" localSheetId="1">'IX. Box 1'!$X$50</definedName>
    <definedName name="lhas_hhighta_learners_masterlist_es" localSheetId="1">'IX. Box 1'!$P$22</definedName>
    <definedName name="lhas_hhighta_learners_masterlist_jhs" localSheetId="1">'IX. Box 1'!$P$36</definedName>
    <definedName name="lhas_hhighta_learners_masterlist_shs" localSheetId="1">'IX. Box 1'!$P$50</definedName>
    <definedName name="lhas_hhighta_learners_screening_es" localSheetId="1">'IX. Box 1'!$T$22</definedName>
    <definedName name="lhas_hhighta_learners_screening_jhs" localSheetId="1">'IX. Box 1'!$T$36</definedName>
    <definedName name="lhas_hhighta_learners_screening_shs" localSheetId="1">'IX. Box 1'!$T$50</definedName>
    <definedName name="lhas_hhighta_lgudoh_es" localSheetId="1">'IX. Box 1'!$AF$22</definedName>
    <definedName name="lhas_hhighta_lgudoh_jhs" localSheetId="1">'IX. Box 1'!$AF$36</definedName>
    <definedName name="lhas_hhighta_lgudoh_shs" localSheetId="1">'IX. Box 1'!$AF$50</definedName>
    <definedName name="lhas_hhighta_others_es" localSheetId="1">'IX. Box 1'!$AN$22</definedName>
    <definedName name="lhas_hhighta_others_jhs" localSheetId="1">'IX. Box 1'!$AN$36</definedName>
    <definedName name="lhas_hhighta_others_shs" localSheetId="1">'IX. Box 1'!$AN$50</definedName>
    <definedName name="lhas_hhighta_private_es" localSheetId="1">'IX. Box 1'!$AJ$22</definedName>
    <definedName name="lhas_hhighta_private_jhs" localSheetId="1">'IX. Box 1'!$AJ$36</definedName>
    <definedName name="lhas_hhighta_private_shs" localSheetId="1">'IX. Box 1'!$AJ$50</definedName>
    <definedName name="lhas_hs_facility_es" localSheetId="1">'IX. Box 1'!$AB$25</definedName>
    <definedName name="lhas_hs_facility_jhs" localSheetId="1">'IX. Box 1'!$AB$39</definedName>
    <definedName name="lhas_hs_facility_shs" localSheetId="1">'IX. Box 1'!$AB$53</definedName>
    <definedName name="lhas_hs_learners_assessed_es" localSheetId="1">'IX. Box 1'!$X$25</definedName>
    <definedName name="lhas_hs_learners_assessed_jhs" localSheetId="1">'IX. Box 1'!$X$39</definedName>
    <definedName name="lhas_hs_learners_assessed_shs" localSheetId="1">'IX. Box 1'!$X$53</definedName>
    <definedName name="lhas_hs_learners_masterlist_es" localSheetId="1">'IX. Box 1'!$P$25</definedName>
    <definedName name="lhas_hs_learners_masterlist_jhs" localSheetId="1">'IX. Box 1'!$P$39</definedName>
    <definedName name="lhas_hs_learners_masterlist_shs" localSheetId="1">'IX. Box 1'!$P$53</definedName>
    <definedName name="lhas_hs_learners_screening_es" localSheetId="1">'IX. Box 1'!$T$25</definedName>
    <definedName name="lhas_hs_learners_screening_jhs" localSheetId="1">'IX. Box 1'!$T$39</definedName>
    <definedName name="lhas_hs_learners_screening_shs" localSheetId="1">'IX. Box 1'!$T$53</definedName>
    <definedName name="lhas_hs_lgudoh_es" localSheetId="1">'IX. Box 1'!$AF$25</definedName>
    <definedName name="lhas_hs_lgudoh_jhs" localSheetId="1">'IX. Box 1'!$AF$39</definedName>
    <definedName name="lhas_hs_lgudoh_shs" localSheetId="1">'IX. Box 1'!$AF$53</definedName>
    <definedName name="lhas_hs_others_es" localSheetId="1">'IX. Box 1'!$AN$25</definedName>
    <definedName name="lhas_hs_others_jhs" localSheetId="1">'IX. Box 1'!$AN$39</definedName>
    <definedName name="lhas_hs_others_shs" localSheetId="1">'IX. Box 1'!$AN$53</definedName>
    <definedName name="lhas_hs_private_es" localSheetId="1">'IX. Box 1'!$AJ$25</definedName>
    <definedName name="lhas_hs_private_jhs" localSheetId="1">'IX. Box 1'!$AJ$39</definedName>
    <definedName name="lhas_hs_private_shs" localSheetId="1">'IX. Box 1'!$AJ$53</definedName>
    <definedName name="lhas_na_facility_es" localSheetId="1">'IX. Box 1'!$AB$21</definedName>
    <definedName name="lhas_na_facility_jhs" localSheetId="1">'IX. Box 1'!$AB$35</definedName>
    <definedName name="lhas_na_facility_shs" localSheetId="1">'IX. Box 1'!$AB$49</definedName>
    <definedName name="lhas_na_learners_assessed_es" localSheetId="1">'IX. Box 1'!$X$21</definedName>
    <definedName name="lhas_na_learners_assessed_jhs" localSheetId="1">'IX. Box 1'!$X$35</definedName>
    <definedName name="lhas_na_learners_assessed_shs" localSheetId="1">'IX. Box 1'!$X$49</definedName>
    <definedName name="lhas_na_learners_masterlist_es" localSheetId="1">'IX. Box 1'!$P$21</definedName>
    <definedName name="lhas_na_learners_masterlist_jhs" localSheetId="1">'IX. Box 1'!$P$35</definedName>
    <definedName name="lhas_na_learners_masterlist_shs" localSheetId="1">'IX. Box 1'!$P$49</definedName>
    <definedName name="lhas_na_learners_screening_es" localSheetId="1">'IX. Box 1'!$T$21</definedName>
    <definedName name="lhas_na_learners_screening_jhs" localSheetId="1">'IX. Box 1'!$T$35</definedName>
    <definedName name="lhas_na_learners_screening_shs" localSheetId="1">'IX. Box 1'!$T$49</definedName>
    <definedName name="lhas_na_lgudoh_es" localSheetId="1">'IX. Box 1'!$AF$21</definedName>
    <definedName name="lhas_na_lgudoh_jhs" localSheetId="1">'IX. Box 1'!$AF$35</definedName>
    <definedName name="lhas_na_lgudoh_shs" localSheetId="1">'IX. Box 1'!$AF$49</definedName>
    <definedName name="lhas_na_others_es" localSheetId="1">'IX. Box 1'!$AN$21</definedName>
    <definedName name="lhas_na_others_jhs" localSheetId="1">'IX. Box 1'!$AN$35</definedName>
    <definedName name="lhas_na_others_shs" localSheetId="1">'IX. Box 1'!$AN$49</definedName>
    <definedName name="lhas_na_private_es" localSheetId="1">'IX. Box 1'!$AJ$21</definedName>
    <definedName name="lhas_na_private_jhs" localSheetId="1">'IX. Box 1'!$AJ$35</definedName>
    <definedName name="lhas_na_private_shs" localSheetId="1">'IX. Box 1'!$AJ$49</definedName>
    <definedName name="lhas_oha_facility_es" localSheetId="1">'IX. Box 1'!$AB$26</definedName>
    <definedName name="lhas_oha_facility_jhs" localSheetId="1">'IX. Box 1'!$AB$40</definedName>
    <definedName name="lhas_oha_facility_shs" localSheetId="1">'IX. Box 1'!$AB$54</definedName>
    <definedName name="lhas_oha_learners_assessed_es" localSheetId="1">'IX. Box 1'!$X$26</definedName>
    <definedName name="lhas_oha_learners_assessed_jhs" localSheetId="1">'IX. Box 1'!$X$40</definedName>
    <definedName name="lhas_oha_learners_assessed_shs" localSheetId="1">'IX. Box 1'!$X$54</definedName>
    <definedName name="lhas_oha_learners_masterlist_es" localSheetId="1">'IX. Box 1'!$P$26</definedName>
    <definedName name="lhas_oha_learners_masterlist_jhs" localSheetId="1">'IX. Box 1'!$P$40</definedName>
    <definedName name="lhas_oha_learners_masterlist_shs" localSheetId="1">'IX. Box 1'!$P$54</definedName>
    <definedName name="lhas_oha_learners_screening_es" localSheetId="1">'IX. Box 1'!$T$26</definedName>
    <definedName name="lhas_oha_learners_screening_jhs" localSheetId="1">'IX. Box 1'!$T$40</definedName>
    <definedName name="lhas_oha_learners_screening_shs" localSheetId="1">'IX. Box 1'!$T$54</definedName>
    <definedName name="lhas_oha_lgudoh_es" localSheetId="1">'IX. Box 1'!$AF$26</definedName>
    <definedName name="lhas_oha_lgudoh_jhs" localSheetId="1">'IX. Box 1'!$AF$40</definedName>
    <definedName name="lhas_oha_lgudoh_shs" localSheetId="1">'IX. Box 1'!$AF$54</definedName>
    <definedName name="lhas_oha_others_es" localSheetId="1">'IX. Box 1'!$AN$26</definedName>
    <definedName name="lhas_oha_others_jhs" localSheetId="1">'IX. Box 1'!$AN$40</definedName>
    <definedName name="lhas_oha_others_shs" localSheetId="1">'IX. Box 1'!$AN$54</definedName>
    <definedName name="lhas_oha_private_es" localSheetId="1">'IX. Box 1'!$AJ$26</definedName>
    <definedName name="lhas_oha_private_jhs" localSheetId="1">'IX. Box 1'!$AJ$40</definedName>
    <definedName name="lhas_oha_private_shs" localSheetId="1">'IX. Box 1'!$AJ$54</definedName>
    <definedName name="lhas_vs_facility_es" localSheetId="1">'IX. Box 1'!$AB$24</definedName>
    <definedName name="lhas_vs_facility_jhs" localSheetId="1">'IX. Box 1'!$AB$38</definedName>
    <definedName name="lhas_vs_facility_shs" localSheetId="1">'IX. Box 1'!$AB$52</definedName>
    <definedName name="lhas_vs_learners_assessed_es" localSheetId="1">'IX. Box 1'!$X$24</definedName>
    <definedName name="lhas_vs_learners_assessed_jhs" localSheetId="1">'IX. Box 1'!$X$38</definedName>
    <definedName name="lhas_vs_learners_assessed_shs" localSheetId="1">'IX. Box 1'!$X$52</definedName>
    <definedName name="lhas_vs_learners_masterlist_es" localSheetId="1">'IX. Box 1'!$P$24</definedName>
    <definedName name="lhas_vs_learners_masterlist_jhs" localSheetId="1">'IX. Box 1'!$P$38</definedName>
    <definedName name="lhas_vs_learners_masterlist_shs" localSheetId="1">'IX. Box 1'!$P$52</definedName>
    <definedName name="lhas_vs_learners_screening_es" localSheetId="1">'IX. Box 1'!$T$24</definedName>
    <definedName name="lhas_vs_learners_screening_jhs" localSheetId="1">'IX. Box 1'!$T$38</definedName>
    <definedName name="lhas_vs_learners_screening_shs" localSheetId="1">'IX. Box 1'!$T$52</definedName>
    <definedName name="lhas_vs_lgudoh_es" localSheetId="1">'IX. Box 1'!$AF$24</definedName>
    <definedName name="lhas_vs_lgudoh_jhs" localSheetId="1">'IX. Box 1'!$AF$38</definedName>
    <definedName name="lhas_vs_lgudoh_shs" localSheetId="1">'IX. Box 1'!$AF$52</definedName>
    <definedName name="lhas_vs_others_es" localSheetId="1">'IX. Box 1'!$AN$24</definedName>
    <definedName name="lhas_vs_others_jhs" localSheetId="1">'IX. Box 1'!$AN$38</definedName>
    <definedName name="lhas_vs_others_shs" localSheetId="1">'IX. Box 1'!$AN$52</definedName>
    <definedName name="lhas_vs_private_es" localSheetId="1">'IX. Box 1'!$AJ$24</definedName>
    <definedName name="lhas_vs_private_jhs" localSheetId="1">'IX. Box 1'!$AJ$38</definedName>
    <definedName name="lhas_vs_private_shs" localSheetId="1">'IX. Box 1'!$AJ$52</definedName>
    <definedName name="_xlnm.Print_Area" localSheetId="1">'IX. Box 1'!$A$1:$AW$73</definedName>
    <definedName name="lhas_cars_facility_es" localSheetId="2">'IX. Box 1'!$AB$27</definedName>
    <definedName name="lhas_cars_facility_jhs" localSheetId="2">'IX. Box 1'!$AB$41</definedName>
    <definedName name="lhas_cars_facility_shs" localSheetId="2">'IX. Box 1'!$AB$55</definedName>
    <definedName name="lhas_cars_learners_assessed_es" localSheetId="2">'IX. Box 1'!$X$27</definedName>
    <definedName name="lhas_cars_learners_assessed_jhs" localSheetId="2">'IX. Box 1'!$X$41</definedName>
    <definedName name="lhas_cars_learners_assessed_shs" localSheetId="2">'IX. Box 1'!$X$55</definedName>
    <definedName name="lhas_cars_learners_masterlist_es" localSheetId="2">'IX. Box 1'!$P$27</definedName>
    <definedName name="lhas_cars_learners_masterlist_jhs" localSheetId="2">'IX. Box 1'!$P$41</definedName>
    <definedName name="lhas_cars_learners_masterlist_shs" localSheetId="2">'IX. Box 1'!$P$55</definedName>
    <definedName name="lhas_cars_learners_screening_es" localSheetId="2">'IX. Box 1'!$T$27</definedName>
    <definedName name="lhas_cars_learners_screening_jhs" localSheetId="2">'IX. Box 1'!$T$41</definedName>
    <definedName name="lhas_cars_learners_screening_shs" localSheetId="2">'IX. Box 1'!$T$55</definedName>
    <definedName name="lhas_cars_lgudoh_es" localSheetId="2">'IX. Box 1'!$AF$27</definedName>
    <definedName name="lhas_cars_lgudoh_jhs" localSheetId="2">'IX. Box 1'!$AF$41</definedName>
    <definedName name="lhas_cars_lgudoh_shs" localSheetId="2">'IX. Box 1'!$AF$55</definedName>
    <definedName name="lhas_cars_others_es" localSheetId="2">'IX. Box 1'!$AN$27</definedName>
    <definedName name="lhas_cars_others_jhs" localSheetId="2">'IX. Box 1'!$AN$41</definedName>
    <definedName name="lhas_cars_others_shs" localSheetId="2">'IX. Box 1'!$AN$55</definedName>
    <definedName name="lhas_cars_private_es" localSheetId="2">'IX. Box 1'!$AJ$27</definedName>
    <definedName name="lhas_cars_private_jhs" localSheetId="2">'IX. Box 1'!$AJ$41</definedName>
    <definedName name="lhas_cars_private_shs" localSheetId="2">'IX. Box 1'!$AJ$55</definedName>
    <definedName name="lhas_heeadsss_facility_es" localSheetId="2">'IX. Box 1'!$AB$29</definedName>
    <definedName name="lhas_heeadsss_facility_jhs" localSheetId="2">'IX. Box 1'!$AB$43</definedName>
    <definedName name="lhas_heeadsss_facility_shs" localSheetId="2">'IX. Box 1'!$AB$57</definedName>
    <definedName name="lhas_heeadsss_learners_assessed_es" localSheetId="2">'IX. Box 1'!$X$29</definedName>
    <definedName name="lhas_heeadsss_learners_assessed_jhs" localSheetId="2">'IX. Box 1'!$X$43</definedName>
    <definedName name="lhas_heeadsss_learners_assessed_shs" localSheetId="2">'IX. Box 1'!$X$57</definedName>
    <definedName name="lhas_heeadsss_learners_masterlist_es" localSheetId="2">'IX. Box 1'!$P$29</definedName>
    <definedName name="lhas_heeadsss_learners_masterlist_jhs" localSheetId="2">'IX. Box 1'!$P$43</definedName>
    <definedName name="lhas_heeadsss_learners_masterlist_shs" localSheetId="2">'IX. Box 1'!$P$57</definedName>
    <definedName name="lhas_heeadsss_learners_screening_es" localSheetId="2">'IX. Box 1'!$T$29</definedName>
    <definedName name="lhas_heeadsss_learners_screening_jhs" localSheetId="2">'IX. Box 1'!$T$43</definedName>
    <definedName name="lhas_heeadsss_learners_screening_shs" localSheetId="2">'IX. Box 1'!$T$57</definedName>
    <definedName name="lhas_heeadsss_lgudoh_es" localSheetId="2">'IX. Box 1'!$AF$29</definedName>
    <definedName name="lhas_heeadsss_lgudoh_jhs" localSheetId="2">'IX. Box 1'!$AF$43</definedName>
    <definedName name="lhas_heeadsss_lgudoh_shs" localSheetId="2">'IX. Box 1'!$AF$57</definedName>
    <definedName name="lhas_heeadsss_others_es" localSheetId="2">'IX. Box 1'!$AN$29</definedName>
    <definedName name="lhas_heeadsss_others_jhs" localSheetId="2">'IX. Box 1'!$AN$43</definedName>
    <definedName name="lhas_heeadsss_others_shs" localSheetId="2">'IX. Box 1'!$AN$57</definedName>
    <definedName name="lhas_heeadsss_private_es" localSheetId="2">'IX. Box 1'!$AJ$29</definedName>
    <definedName name="lhas_heeadsss_private_jhs" localSheetId="2">'IX. Box 1'!$AJ$43</definedName>
    <definedName name="lhas_heeadsss_private_shs" localSheetId="2">'IX. Box 1'!$AJ$57</definedName>
    <definedName name="lhas_hhighta_facility_es" localSheetId="2">'IX. Box 1'!$AB$22</definedName>
    <definedName name="lhas_hhighta_facility_jhs" localSheetId="2">'IX. Box 1'!$AB$36</definedName>
    <definedName name="lhas_hhighta_facility_shs" localSheetId="2">'IX. Box 1'!$AB$50</definedName>
    <definedName name="lhas_hhighta_learners_assessed_es" localSheetId="2">'IX. Box 1'!$X$22</definedName>
    <definedName name="lhas_hhighta_learners_assessed_jhs" localSheetId="2">'IX. Box 1'!$X$36</definedName>
    <definedName name="lhas_hhighta_learners_assessed_shs" localSheetId="2">'IX. Box 1'!$X$50</definedName>
    <definedName name="lhas_hhighta_learners_masterlist_es" localSheetId="2">'IX. Box 1'!$P$22</definedName>
    <definedName name="lhas_hhighta_learners_masterlist_jhs" localSheetId="2">'IX. Box 1'!$P$36</definedName>
    <definedName name="lhas_hhighta_learners_masterlist_shs" localSheetId="2">'IX. Box 1'!$P$50</definedName>
    <definedName name="lhas_hhighta_learners_screening_es" localSheetId="2">'IX. Box 1'!$T$22</definedName>
    <definedName name="lhas_hhighta_learners_screening_jhs" localSheetId="2">'IX. Box 1'!$T$36</definedName>
    <definedName name="lhas_hhighta_learners_screening_shs" localSheetId="2">'IX. Box 1'!$T$50</definedName>
    <definedName name="lhas_hhighta_lgudoh_es" localSheetId="2">'IX. Box 1'!$AF$22</definedName>
    <definedName name="lhas_hhighta_lgudoh_jhs" localSheetId="2">'IX. Box 1'!$AF$36</definedName>
    <definedName name="lhas_hhighta_lgudoh_shs" localSheetId="2">'IX. Box 1'!$AF$50</definedName>
    <definedName name="lhas_hhighta_others_es" localSheetId="2">'IX. Box 1'!$AN$22</definedName>
    <definedName name="lhas_hhighta_others_jhs" localSheetId="2">'IX. Box 1'!$AN$36</definedName>
    <definedName name="lhas_hhighta_others_shs" localSheetId="2">'IX. Box 1'!$AN$50</definedName>
    <definedName name="lhas_hhighta_private_es" localSheetId="2">'IX. Box 1'!$AJ$22</definedName>
    <definedName name="lhas_hhighta_private_jhs" localSheetId="2">'IX. Box 1'!$AJ$36</definedName>
    <definedName name="lhas_hhighta_private_shs" localSheetId="2">'IX. Box 1'!$AJ$50</definedName>
    <definedName name="lhas_hs_facility_es" localSheetId="2">'IX. Box 1'!$AB$25</definedName>
    <definedName name="lhas_hs_facility_jhs" localSheetId="2">'IX. Box 1'!$AB$39</definedName>
    <definedName name="lhas_hs_facility_shs" localSheetId="2">'IX. Box 1'!$AB$53</definedName>
    <definedName name="lhas_hs_learners_assessed_es" localSheetId="2">'IX. Box 1'!$X$25</definedName>
    <definedName name="lhas_hs_learners_assessed_jhs" localSheetId="2">'IX. Box 1'!$X$39</definedName>
    <definedName name="lhas_hs_learners_assessed_shs" localSheetId="2">'IX. Box 1'!$X$53</definedName>
    <definedName name="lhas_hs_learners_masterlist_es" localSheetId="2">'IX. Box 1'!$P$25</definedName>
    <definedName name="lhas_hs_learners_masterlist_jhs" localSheetId="2">'IX. Box 1'!$P$39</definedName>
    <definedName name="lhas_hs_learners_masterlist_shs" localSheetId="2">'IX. Box 1'!$P$53</definedName>
    <definedName name="lhas_hs_learners_screening_es" localSheetId="2">'IX. Box 1'!$T$25</definedName>
    <definedName name="lhas_hs_learners_screening_jhs" localSheetId="2">'IX. Box 1'!$T$39</definedName>
    <definedName name="lhas_hs_learners_screening_shs" localSheetId="2">'IX. Box 1'!$T$53</definedName>
    <definedName name="lhas_hs_lgudoh_es" localSheetId="2">'IX. Box 1'!$AF$25</definedName>
    <definedName name="lhas_hs_lgudoh_jhs" localSheetId="2">'IX. Box 1'!$AF$39</definedName>
    <definedName name="lhas_hs_lgudoh_shs" localSheetId="2">'IX. Box 1'!$AF$53</definedName>
    <definedName name="lhas_hs_others_es" localSheetId="2">'IX. Box 1'!$AN$25</definedName>
    <definedName name="lhas_hs_others_jhs" localSheetId="2">'IX. Box 1'!$AN$39</definedName>
    <definedName name="lhas_hs_others_shs" localSheetId="2">'IX. Box 1'!$AN$53</definedName>
    <definedName name="lhas_hs_private_es" localSheetId="2">'IX. Box 1'!$AJ$25</definedName>
    <definedName name="lhas_hs_private_jhs" localSheetId="2">'IX. Box 1'!$AJ$39</definedName>
    <definedName name="lhas_hs_private_shs" localSheetId="2">'IX. Box 1'!$AJ$53</definedName>
    <definedName name="lhas_na_facility_es" localSheetId="2">'IX. Box 1'!$AB$21</definedName>
    <definedName name="lhas_na_facility_jhs" localSheetId="2">'IX. Box 1'!$AB$35</definedName>
    <definedName name="lhas_na_facility_shs" localSheetId="2">'IX. Box 1'!$AB$49</definedName>
    <definedName name="lhas_na_learners_assessed_es" localSheetId="2">'IX. Box 1'!$X$21</definedName>
    <definedName name="lhas_na_learners_assessed_jhs" localSheetId="2">'IX. Box 1'!$X$35</definedName>
    <definedName name="lhas_na_learners_assessed_shs" localSheetId="2">'IX. Box 1'!$X$49</definedName>
    <definedName name="lhas_na_learners_masterlist_es" localSheetId="2">'IX. Box 1'!$P$21</definedName>
    <definedName name="lhas_na_learners_masterlist_jhs" localSheetId="2">'IX. Box 1'!$P$35</definedName>
    <definedName name="lhas_na_learners_masterlist_shs" localSheetId="2">'IX. Box 1'!$P$49</definedName>
    <definedName name="lhas_na_learners_screening_es" localSheetId="2">'IX. Box 1'!$T$21</definedName>
    <definedName name="lhas_na_learners_screening_jhs" localSheetId="2">'IX. Box 1'!$T$35</definedName>
    <definedName name="lhas_na_learners_screening_shs" localSheetId="2">'IX. Box 1'!$T$49</definedName>
    <definedName name="lhas_na_lgudoh_es" localSheetId="2">'IX. Box 1'!$AF$21</definedName>
    <definedName name="lhas_na_lgudoh_jhs" localSheetId="2">'IX. Box 1'!$AF$35</definedName>
    <definedName name="lhas_na_lgudoh_shs" localSheetId="2">'IX. Box 1'!$AF$49</definedName>
    <definedName name="lhas_na_others_es" localSheetId="2">'IX. Box 1'!$AN$21</definedName>
    <definedName name="lhas_na_others_jhs" localSheetId="2">'IX. Box 1'!$AN$35</definedName>
    <definedName name="lhas_na_others_shs" localSheetId="2">'IX. Box 1'!$AN$49</definedName>
    <definedName name="lhas_na_private_es" localSheetId="2">'IX. Box 1'!$AJ$21</definedName>
    <definedName name="lhas_na_private_jhs" localSheetId="2">'IX. Box 1'!$AJ$35</definedName>
    <definedName name="lhas_na_private_shs" localSheetId="2">'IX. Box 1'!$AJ$49</definedName>
    <definedName name="lhas_oha_facility_es" localSheetId="2">'IX. Box 1'!$AB$26</definedName>
    <definedName name="lhas_oha_facility_jhs" localSheetId="2">'IX. Box 1'!$AB$40</definedName>
    <definedName name="lhas_oha_facility_shs" localSheetId="2">'IX. Box 1'!$AB$54</definedName>
    <definedName name="lhas_oha_learners_assessed_es" localSheetId="2">'IX. Box 1'!$X$26</definedName>
    <definedName name="lhas_oha_learners_assessed_jhs" localSheetId="2">'IX. Box 1'!$X$40</definedName>
    <definedName name="lhas_oha_learners_assessed_shs" localSheetId="2">'IX. Box 1'!$X$54</definedName>
    <definedName name="lhas_oha_learners_masterlist_es" localSheetId="2">'IX. Box 1'!$P$26</definedName>
    <definedName name="lhas_oha_learners_masterlist_jhs" localSheetId="2">'IX. Box 1'!$P$40</definedName>
    <definedName name="lhas_oha_learners_masterlist_shs" localSheetId="2">'IX. Box 1'!$P$54</definedName>
    <definedName name="lhas_oha_learners_screening_es" localSheetId="2">'IX. Box 1'!$T$26</definedName>
    <definedName name="lhas_oha_learners_screening_jhs" localSheetId="2">'IX. Box 1'!$T$40</definedName>
    <definedName name="lhas_oha_learners_screening_shs" localSheetId="2">'IX. Box 1'!$T$54</definedName>
    <definedName name="lhas_oha_lgudoh_es" localSheetId="2">'IX. Box 1'!$AF$26</definedName>
    <definedName name="lhas_oha_lgudoh_jhs" localSheetId="2">'IX. Box 1'!$AF$40</definedName>
    <definedName name="lhas_oha_lgudoh_shs" localSheetId="2">'IX. Box 1'!$AF$54</definedName>
    <definedName name="lhas_oha_others_es" localSheetId="2">'IX. Box 1'!$AN$26</definedName>
    <definedName name="lhas_oha_others_jhs" localSheetId="2">'IX. Box 1'!$AN$40</definedName>
    <definedName name="lhas_oha_others_shs" localSheetId="2">'IX. Box 1'!$AN$54</definedName>
    <definedName name="lhas_oha_private_es" localSheetId="2">'IX. Box 1'!$AJ$26</definedName>
    <definedName name="lhas_oha_private_jhs" localSheetId="2">'IX. Box 1'!$AJ$40</definedName>
    <definedName name="lhas_oha_private_shs" localSheetId="2">'IX. Box 1'!$AJ$54</definedName>
    <definedName name="lhas_vs_facility_es" localSheetId="2">'IX. Box 1'!$AB$24</definedName>
    <definedName name="lhas_vs_facility_jhs" localSheetId="2">'IX. Box 1'!$AB$38</definedName>
    <definedName name="lhas_vs_facility_shs" localSheetId="2">'IX. Box 1'!$AB$52</definedName>
    <definedName name="lhas_vs_learners_assessed_es" localSheetId="2">'IX. Box 1'!$X$24</definedName>
    <definedName name="lhas_vs_learners_assessed_jhs" localSheetId="2">'IX. Box 1'!$X$38</definedName>
    <definedName name="lhas_vs_learners_assessed_shs" localSheetId="2">'IX. Box 1'!$X$52</definedName>
    <definedName name="lhas_vs_learners_masterlist_es" localSheetId="2">'IX. Box 1'!$P$24</definedName>
    <definedName name="lhas_vs_learners_masterlist_jhs" localSheetId="2">'IX. Box 1'!$P$38</definedName>
    <definedName name="lhas_vs_learners_masterlist_shs" localSheetId="2">'IX. Box 1'!$P$52</definedName>
    <definedName name="lhas_vs_learners_screening_es" localSheetId="2">'IX. Box 1'!$T$24</definedName>
    <definedName name="lhas_vs_learners_screening_jhs" localSheetId="2">'IX. Box 1'!$T$38</definedName>
    <definedName name="lhas_vs_learners_screening_shs" localSheetId="2">'IX. Box 1'!$T$52</definedName>
    <definedName name="lhas_vs_lgudoh_es" localSheetId="2">'IX. Box 1'!$AF$24</definedName>
    <definedName name="lhas_vs_lgudoh_jhs" localSheetId="2">'IX. Box 1'!$AF$38</definedName>
    <definedName name="lhas_vs_lgudoh_shs" localSheetId="2">'IX. Box 1'!$AF$52</definedName>
    <definedName name="lhas_vs_others_es" localSheetId="2">'IX. Box 1'!$AN$24</definedName>
    <definedName name="lhas_vs_others_jhs" localSheetId="2">'IX. Box 1'!$AN$38</definedName>
    <definedName name="lhas_vs_others_shs" localSheetId="2">'IX. Box 1'!$AN$52</definedName>
    <definedName name="lhas_vs_private_es" localSheetId="2">'IX. Box 1'!$AJ$24</definedName>
    <definedName name="lhas_vs_private_jhs" localSheetId="2">'IX. Box 1'!$AJ$38</definedName>
    <definedName name="lhas_vs_private_shs" localSheetId="2">'IX. Box 1'!$AJ$52</definedName>
    <definedName name="_xlnm.Print_Area" localSheetId="2">'IX. Box 1 Def'!$A$1:$AW$40</definedName>
    <definedName name="lhas_cars_facility_es" localSheetId="3">'IX. Box 1'!$AB$27</definedName>
    <definedName name="lhas_cars_facility_jhs" localSheetId="3">'IX. Box 1'!$AB$41</definedName>
    <definedName name="lhas_cars_facility_shs" localSheetId="3">'IX. Box 1'!$AB$55</definedName>
    <definedName name="lhas_cars_learners_assessed_es" localSheetId="3">'IX. Box 1'!$X$27</definedName>
    <definedName name="lhas_cars_learners_assessed_jhs" localSheetId="3">'IX. Box 1'!$X$41</definedName>
    <definedName name="lhas_cars_learners_assessed_shs" localSheetId="3">'IX. Box 1'!$X$55</definedName>
    <definedName name="lhas_cars_learners_masterlist_es" localSheetId="3">'IX. Box 1'!$P$27</definedName>
    <definedName name="lhas_cars_learners_masterlist_jhs" localSheetId="3">'IX. Box 1'!$P$41</definedName>
    <definedName name="lhas_cars_learners_masterlist_shs" localSheetId="3">'IX. Box 1'!$P$55</definedName>
    <definedName name="lhas_cars_learners_screening_es" localSheetId="3">'IX. Box 1'!$T$27</definedName>
    <definedName name="lhas_cars_learners_screening_jhs" localSheetId="3">'IX. Box 1'!$T$41</definedName>
    <definedName name="lhas_cars_learners_screening_shs" localSheetId="3">'IX. Box 1'!$T$55</definedName>
    <definedName name="lhas_cars_lgudoh_es" localSheetId="3">'IX. Box 1'!$AF$27</definedName>
    <definedName name="lhas_cars_lgudoh_jhs" localSheetId="3">'IX. Box 1'!$AF$41</definedName>
    <definedName name="lhas_cars_lgudoh_shs" localSheetId="3">'IX. Box 1'!$AF$55</definedName>
    <definedName name="lhas_cars_others_es" localSheetId="3">'IX. Box 1'!$AN$27</definedName>
    <definedName name="lhas_cars_others_jhs" localSheetId="3">'IX. Box 1'!$AN$41</definedName>
    <definedName name="lhas_cars_others_shs" localSheetId="3">'IX. Box 1'!$AN$55</definedName>
    <definedName name="lhas_cars_private_es" localSheetId="3">'IX. Box 1'!$AJ$27</definedName>
    <definedName name="lhas_cars_private_jhs" localSheetId="3">'IX. Box 1'!$AJ$41</definedName>
    <definedName name="lhas_cars_private_shs" localSheetId="3">'IX. Box 1'!$AJ$55</definedName>
    <definedName name="lhas_heeadsss_facility_es" localSheetId="3">'IX. Box 1'!$AB$29</definedName>
    <definedName name="lhas_heeadsss_facility_jhs" localSheetId="3">'IX. Box 1'!$AB$43</definedName>
    <definedName name="lhas_heeadsss_facility_shs" localSheetId="3">'IX. Box 1'!$AB$57</definedName>
    <definedName name="lhas_heeadsss_learners_assessed_es" localSheetId="3">'IX. Box 1'!$X$29</definedName>
    <definedName name="lhas_heeadsss_learners_assessed_jhs" localSheetId="3">'IX. Box 1'!$X$43</definedName>
    <definedName name="lhas_heeadsss_learners_assessed_shs" localSheetId="3">'IX. Box 1'!$X$57</definedName>
    <definedName name="lhas_heeadsss_learners_masterlist_es" localSheetId="3">'IX. Box 1'!$P$29</definedName>
    <definedName name="lhas_heeadsss_learners_masterlist_jhs" localSheetId="3">'IX. Box 1'!$P$43</definedName>
    <definedName name="lhas_heeadsss_learners_masterlist_shs" localSheetId="3">'IX. Box 1'!$P$57</definedName>
    <definedName name="lhas_heeadsss_learners_screening_es" localSheetId="3">'IX. Box 1'!$T$29</definedName>
    <definedName name="lhas_heeadsss_learners_screening_jhs" localSheetId="3">'IX. Box 1'!$T$43</definedName>
    <definedName name="lhas_heeadsss_learners_screening_shs" localSheetId="3">'IX. Box 1'!$T$57</definedName>
    <definedName name="lhas_heeadsss_lgudoh_es" localSheetId="3">'IX. Box 1'!$AF$29</definedName>
    <definedName name="lhas_heeadsss_lgudoh_jhs" localSheetId="3">'IX. Box 1'!$AF$43</definedName>
    <definedName name="lhas_heeadsss_lgudoh_shs" localSheetId="3">'IX. Box 1'!$AF$57</definedName>
    <definedName name="lhas_heeadsss_others_es" localSheetId="3">'IX. Box 1'!$AN$29</definedName>
    <definedName name="lhas_heeadsss_others_jhs" localSheetId="3">'IX. Box 1'!$AN$43</definedName>
    <definedName name="lhas_heeadsss_others_shs" localSheetId="3">'IX. Box 1'!$AN$57</definedName>
    <definedName name="lhas_heeadsss_private_es" localSheetId="3">'IX. Box 1'!$AJ$29</definedName>
    <definedName name="lhas_heeadsss_private_jhs" localSheetId="3">'IX. Box 1'!$AJ$43</definedName>
    <definedName name="lhas_heeadsss_private_shs" localSheetId="3">'IX. Box 1'!$AJ$57</definedName>
    <definedName name="lhas_hhighta_facility_es" localSheetId="3">'IX. Box 1'!$AB$22</definedName>
    <definedName name="lhas_hhighta_facility_jhs" localSheetId="3">'IX. Box 1'!$AB$36</definedName>
    <definedName name="lhas_hhighta_facility_shs" localSheetId="3">'IX. Box 1'!$AB$50</definedName>
    <definedName name="lhas_hhighta_learners_assessed_es" localSheetId="3">'IX. Box 1'!$X$22</definedName>
    <definedName name="lhas_hhighta_learners_assessed_jhs" localSheetId="3">'IX. Box 1'!$X$36</definedName>
    <definedName name="lhas_hhighta_learners_assessed_shs" localSheetId="3">'IX. Box 1'!$X$50</definedName>
    <definedName name="lhas_hhighta_learners_masterlist_es" localSheetId="3">'IX. Box 1'!$P$22</definedName>
    <definedName name="lhas_hhighta_learners_masterlist_jhs" localSheetId="3">'IX. Box 1'!$P$36</definedName>
    <definedName name="lhas_hhighta_learners_masterlist_shs" localSheetId="3">'IX. Box 1'!$P$50</definedName>
    <definedName name="lhas_hhighta_learners_screening_es" localSheetId="3">'IX. Box 1'!$T$22</definedName>
    <definedName name="lhas_hhighta_learners_screening_jhs" localSheetId="3">'IX. Box 1'!$T$36</definedName>
    <definedName name="lhas_hhighta_learners_screening_shs" localSheetId="3">'IX. Box 1'!$T$50</definedName>
    <definedName name="lhas_hhighta_lgudoh_es" localSheetId="3">'IX. Box 1'!$AF$22</definedName>
    <definedName name="lhas_hhighta_lgudoh_jhs" localSheetId="3">'IX. Box 1'!$AF$36</definedName>
    <definedName name="lhas_hhighta_lgudoh_shs" localSheetId="3">'IX. Box 1'!$AF$50</definedName>
    <definedName name="lhas_hhighta_others_es" localSheetId="3">'IX. Box 1'!$AN$22</definedName>
    <definedName name="lhas_hhighta_others_jhs" localSheetId="3">'IX. Box 1'!$AN$36</definedName>
    <definedName name="lhas_hhighta_others_shs" localSheetId="3">'IX. Box 1'!$AN$50</definedName>
    <definedName name="lhas_hhighta_private_es" localSheetId="3">'IX. Box 1'!$AJ$22</definedName>
    <definedName name="lhas_hhighta_private_jhs" localSheetId="3">'IX. Box 1'!$AJ$36</definedName>
    <definedName name="lhas_hhighta_private_shs" localSheetId="3">'IX. Box 1'!$AJ$50</definedName>
    <definedName name="lhas_hs_facility_es" localSheetId="3">'IX. Box 1'!$AB$25</definedName>
    <definedName name="lhas_hs_facility_jhs" localSheetId="3">'IX. Box 1'!$AB$39</definedName>
    <definedName name="lhas_hs_facility_shs" localSheetId="3">'IX. Box 1'!$AB$53</definedName>
    <definedName name="lhas_hs_learners_assessed_es" localSheetId="3">'IX. Box 1'!$X$25</definedName>
    <definedName name="lhas_hs_learners_assessed_jhs" localSheetId="3">'IX. Box 1'!$X$39</definedName>
    <definedName name="lhas_hs_learners_assessed_shs" localSheetId="3">'IX. Box 1'!$X$53</definedName>
    <definedName name="lhas_hs_learners_masterlist_es" localSheetId="3">'IX. Box 1'!$P$25</definedName>
    <definedName name="lhas_hs_learners_masterlist_jhs" localSheetId="3">'IX. Box 1'!$P$39</definedName>
    <definedName name="lhas_hs_learners_masterlist_shs" localSheetId="3">'IX. Box 1'!$P$53</definedName>
    <definedName name="lhas_hs_learners_screening_es" localSheetId="3">'IX. Box 1'!$T$25</definedName>
    <definedName name="lhas_hs_learners_screening_jhs" localSheetId="3">'IX. Box 1'!$T$39</definedName>
    <definedName name="lhas_hs_learners_screening_shs" localSheetId="3">'IX. Box 1'!$T$53</definedName>
    <definedName name="lhas_hs_lgudoh_es" localSheetId="3">'IX. Box 1'!$AF$25</definedName>
    <definedName name="lhas_hs_lgudoh_jhs" localSheetId="3">'IX. Box 1'!$AF$39</definedName>
    <definedName name="lhas_hs_lgudoh_shs" localSheetId="3">'IX. Box 1'!$AF$53</definedName>
    <definedName name="lhas_hs_others_es" localSheetId="3">'IX. Box 1'!$AN$25</definedName>
    <definedName name="lhas_hs_others_jhs" localSheetId="3">'IX. Box 1'!$AN$39</definedName>
    <definedName name="lhas_hs_others_shs" localSheetId="3">'IX. Box 1'!$AN$53</definedName>
    <definedName name="lhas_hs_private_es" localSheetId="3">'IX. Box 1'!$AJ$25</definedName>
    <definedName name="lhas_hs_private_jhs" localSheetId="3">'IX. Box 1'!$AJ$39</definedName>
    <definedName name="lhas_hs_private_shs" localSheetId="3">'IX. Box 1'!$AJ$53</definedName>
    <definedName name="lhas_na_facility_es" localSheetId="3">'IX. Box 1'!$AB$21</definedName>
    <definedName name="lhas_na_facility_jhs" localSheetId="3">'IX. Box 1'!$AB$35</definedName>
    <definedName name="lhas_na_facility_shs" localSheetId="3">'IX. Box 1'!$AB$49</definedName>
    <definedName name="lhas_na_learners_assessed_es" localSheetId="3">'IX. Box 1'!$X$21</definedName>
    <definedName name="lhas_na_learners_assessed_jhs" localSheetId="3">'IX. Box 1'!$X$35</definedName>
    <definedName name="lhas_na_learners_assessed_shs" localSheetId="3">'IX. Box 1'!$X$49</definedName>
    <definedName name="lhas_na_learners_masterlist_es" localSheetId="3">'IX. Box 1'!$P$21</definedName>
    <definedName name="lhas_na_learners_masterlist_jhs" localSheetId="3">'IX. Box 1'!$P$35</definedName>
    <definedName name="lhas_na_learners_masterlist_shs" localSheetId="3">'IX. Box 1'!$P$49</definedName>
    <definedName name="lhas_na_learners_screening_es" localSheetId="3">'IX. Box 1'!$T$21</definedName>
    <definedName name="lhas_na_learners_screening_jhs" localSheetId="3">'IX. Box 1'!$T$35</definedName>
    <definedName name="lhas_na_learners_screening_shs" localSheetId="3">'IX. Box 1'!$T$49</definedName>
    <definedName name="lhas_na_lgudoh_es" localSheetId="3">'IX. Box 1'!$AF$21</definedName>
    <definedName name="lhas_na_lgudoh_jhs" localSheetId="3">'IX. Box 1'!$AF$35</definedName>
    <definedName name="lhas_na_lgudoh_shs" localSheetId="3">'IX. Box 1'!$AF$49</definedName>
    <definedName name="lhas_na_others_es" localSheetId="3">'IX. Box 1'!$AN$21</definedName>
    <definedName name="lhas_na_others_jhs" localSheetId="3">'IX. Box 1'!$AN$35</definedName>
    <definedName name="lhas_na_others_shs" localSheetId="3">'IX. Box 1'!$AN$49</definedName>
    <definedName name="lhas_na_private_es" localSheetId="3">'IX. Box 1'!$AJ$21</definedName>
    <definedName name="lhas_na_private_jhs" localSheetId="3">'IX. Box 1'!$AJ$35</definedName>
    <definedName name="lhas_na_private_shs" localSheetId="3">'IX. Box 1'!$AJ$49</definedName>
    <definedName name="lhas_oha_facility_es" localSheetId="3">'IX. Box 1'!$AB$26</definedName>
    <definedName name="lhas_oha_facility_jhs" localSheetId="3">'IX. Box 1'!$AB$40</definedName>
    <definedName name="lhas_oha_facility_shs" localSheetId="3">'IX. Box 1'!$AB$54</definedName>
    <definedName name="lhas_oha_learners_assessed_es" localSheetId="3">'IX. Box 1'!$X$26</definedName>
    <definedName name="lhas_oha_learners_assessed_jhs" localSheetId="3">'IX. Box 1'!$X$40</definedName>
    <definedName name="lhas_oha_learners_assessed_shs" localSheetId="3">'IX. Box 1'!$X$54</definedName>
    <definedName name="lhas_oha_learners_masterlist_es" localSheetId="3">'IX. Box 1'!$P$26</definedName>
    <definedName name="lhas_oha_learners_masterlist_jhs" localSheetId="3">'IX. Box 1'!$P$40</definedName>
    <definedName name="lhas_oha_learners_masterlist_shs" localSheetId="3">'IX. Box 1'!$P$54</definedName>
    <definedName name="lhas_oha_learners_screening_es" localSheetId="3">'IX. Box 1'!$T$26</definedName>
    <definedName name="lhas_oha_learners_screening_jhs" localSheetId="3">'IX. Box 1'!$T$40</definedName>
    <definedName name="lhas_oha_learners_screening_shs" localSheetId="3">'IX. Box 1'!$T$54</definedName>
    <definedName name="lhas_oha_lgudoh_es" localSheetId="3">'IX. Box 1'!$AF$26</definedName>
    <definedName name="lhas_oha_lgudoh_jhs" localSheetId="3">'IX. Box 1'!$AF$40</definedName>
    <definedName name="lhas_oha_lgudoh_shs" localSheetId="3">'IX. Box 1'!$AF$54</definedName>
    <definedName name="lhas_oha_others_es" localSheetId="3">'IX. Box 1'!$AN$26</definedName>
    <definedName name="lhas_oha_others_jhs" localSheetId="3">'IX. Box 1'!$AN$40</definedName>
    <definedName name="lhas_oha_others_shs" localSheetId="3">'IX. Box 1'!$AN$54</definedName>
    <definedName name="lhas_oha_private_es" localSheetId="3">'IX. Box 1'!$AJ$26</definedName>
    <definedName name="lhas_oha_private_jhs" localSheetId="3">'IX. Box 1'!$AJ$40</definedName>
    <definedName name="lhas_oha_private_shs" localSheetId="3">'IX. Box 1'!$AJ$54</definedName>
    <definedName name="lhas_vs_facility_es" localSheetId="3">'IX. Box 1'!$AB$24</definedName>
    <definedName name="lhas_vs_facility_jhs" localSheetId="3">'IX. Box 1'!$AB$38</definedName>
    <definedName name="lhas_vs_facility_shs" localSheetId="3">'IX. Box 1'!$AB$52</definedName>
    <definedName name="lhas_vs_learners_assessed_es" localSheetId="3">'IX. Box 1'!$X$24</definedName>
    <definedName name="lhas_vs_learners_assessed_jhs" localSheetId="3">'IX. Box 1'!$X$38</definedName>
    <definedName name="lhas_vs_learners_assessed_shs" localSheetId="3">'IX. Box 1'!$X$52</definedName>
    <definedName name="lhas_vs_learners_masterlist_es" localSheetId="3">'IX. Box 1'!$P$24</definedName>
    <definedName name="lhas_vs_learners_masterlist_jhs" localSheetId="3">'IX. Box 1'!$P$38</definedName>
    <definedName name="lhas_vs_learners_masterlist_shs" localSheetId="3">'IX. Box 1'!$P$52</definedName>
    <definedName name="lhas_vs_learners_screening_es" localSheetId="3">'IX. Box 1'!$T$24</definedName>
    <definedName name="lhas_vs_learners_screening_jhs" localSheetId="3">'IX. Box 1'!$T$38</definedName>
    <definedName name="lhas_vs_learners_screening_shs" localSheetId="3">'IX. Box 1'!$T$52</definedName>
    <definedName name="lhas_vs_lgudoh_es" localSheetId="3">'IX. Box 1'!$AF$24</definedName>
    <definedName name="lhas_vs_lgudoh_jhs" localSheetId="3">'IX. Box 1'!$AF$38</definedName>
    <definedName name="lhas_vs_lgudoh_shs" localSheetId="3">'IX. Box 1'!$AF$52</definedName>
    <definedName name="lhas_vs_others_es" localSheetId="3">'IX. Box 1'!$AN$24</definedName>
    <definedName name="lhas_vs_others_jhs" localSheetId="3">'IX. Box 1'!$AN$38</definedName>
    <definedName name="lhas_vs_others_shs" localSheetId="3">'IX. Box 1'!$AN$52</definedName>
    <definedName name="lhas_vs_private_es" localSheetId="3">'IX. Box 1'!$AJ$24</definedName>
    <definedName name="lhas_vs_private_jhs" localSheetId="3">'IX. Box 1'!$AJ$38</definedName>
    <definedName name="lhas_vs_private_shs" localSheetId="3">'IX. Box 1'!$AJ$52</definedName>
    <definedName name="_xlnm.Print_Area" localSheetId="3">'IX. Table 1.A &amp; 1.B'!$A$1:$BJ$47</definedName>
    <definedName name="lhas_cars_facility_es" localSheetId="4">'IX. Box 1'!$AB$27</definedName>
    <definedName name="lhas_cars_facility_jhs" localSheetId="4">'IX. Box 1'!$AB$41</definedName>
    <definedName name="lhas_cars_facility_shs" localSheetId="4">'IX. Box 1'!$AB$55</definedName>
    <definedName name="lhas_cars_learners_assessed_es" localSheetId="4">'IX. Box 1'!$X$27</definedName>
    <definedName name="lhas_cars_learners_assessed_jhs" localSheetId="4">'IX. Box 1'!$X$41</definedName>
    <definedName name="lhas_cars_learners_assessed_shs" localSheetId="4">'IX. Box 1'!$X$55</definedName>
    <definedName name="lhas_cars_learners_masterlist_es" localSheetId="4">'IX. Box 1'!$P$27</definedName>
    <definedName name="lhas_cars_learners_masterlist_jhs" localSheetId="4">'IX. Box 1'!$P$41</definedName>
    <definedName name="lhas_cars_learners_masterlist_shs" localSheetId="4">'IX. Box 1'!$P$55</definedName>
    <definedName name="lhas_cars_learners_screening_es" localSheetId="4">'IX. Box 1'!$T$27</definedName>
    <definedName name="lhas_cars_learners_screening_jhs" localSheetId="4">'IX. Box 1'!$T$41</definedName>
    <definedName name="lhas_cars_learners_screening_shs" localSheetId="4">'IX. Box 1'!$T$55</definedName>
    <definedName name="lhas_cars_lgudoh_es" localSheetId="4">'IX. Box 1'!$AF$27</definedName>
    <definedName name="lhas_cars_lgudoh_jhs" localSheetId="4">'IX. Box 1'!$AF$41</definedName>
    <definedName name="lhas_cars_lgudoh_shs" localSheetId="4">'IX. Box 1'!$AF$55</definedName>
    <definedName name="lhas_cars_others_es" localSheetId="4">'IX. Box 1'!$AN$27</definedName>
    <definedName name="lhas_cars_others_jhs" localSheetId="4">'IX. Box 1'!$AN$41</definedName>
    <definedName name="lhas_cars_others_shs" localSheetId="4">'IX. Box 1'!$AN$55</definedName>
    <definedName name="lhas_cars_private_es" localSheetId="4">'IX. Box 1'!$AJ$27</definedName>
    <definedName name="lhas_cars_private_jhs" localSheetId="4">'IX. Box 1'!$AJ$41</definedName>
    <definedName name="lhas_cars_private_shs" localSheetId="4">'IX. Box 1'!$AJ$55</definedName>
    <definedName name="lhas_heeadsss_facility_es" localSheetId="4">'IX. Box 1'!$AB$29</definedName>
    <definedName name="lhas_heeadsss_facility_jhs" localSheetId="4">'IX. Box 1'!$AB$43</definedName>
    <definedName name="lhas_heeadsss_facility_shs" localSheetId="4">'IX. Box 1'!$AB$57</definedName>
    <definedName name="lhas_heeadsss_learners_assessed_es" localSheetId="4">'IX. Box 1'!$X$29</definedName>
    <definedName name="lhas_heeadsss_learners_assessed_jhs" localSheetId="4">'IX. Box 1'!$X$43</definedName>
    <definedName name="lhas_heeadsss_learners_assessed_shs" localSheetId="4">'IX. Box 1'!$X$57</definedName>
    <definedName name="lhas_heeadsss_learners_masterlist_es" localSheetId="4">'IX. Box 1'!$P$29</definedName>
    <definedName name="lhas_heeadsss_learners_masterlist_jhs" localSheetId="4">'IX. Box 1'!$P$43</definedName>
    <definedName name="lhas_heeadsss_learners_masterlist_shs" localSheetId="4">'IX. Box 1'!$P$57</definedName>
    <definedName name="lhas_heeadsss_learners_screening_es" localSheetId="4">'IX. Box 1'!$T$29</definedName>
    <definedName name="lhas_heeadsss_learners_screening_jhs" localSheetId="4">'IX. Box 1'!$T$43</definedName>
    <definedName name="lhas_heeadsss_learners_screening_shs" localSheetId="4">'IX. Box 1'!$T$57</definedName>
    <definedName name="lhas_heeadsss_lgudoh_es" localSheetId="4">'IX. Box 1'!$AF$29</definedName>
    <definedName name="lhas_heeadsss_lgudoh_jhs" localSheetId="4">'IX. Box 1'!$AF$43</definedName>
    <definedName name="lhas_heeadsss_lgudoh_shs" localSheetId="4">'IX. Box 1'!$AF$57</definedName>
    <definedName name="lhas_heeadsss_others_es" localSheetId="4">'IX. Box 1'!$AN$29</definedName>
    <definedName name="lhas_heeadsss_others_jhs" localSheetId="4">'IX. Box 1'!$AN$43</definedName>
    <definedName name="lhas_heeadsss_others_shs" localSheetId="4">'IX. Box 1'!$AN$57</definedName>
    <definedName name="lhas_heeadsss_private_es" localSheetId="4">'IX. Box 1'!$AJ$29</definedName>
    <definedName name="lhas_heeadsss_private_jhs" localSheetId="4">'IX. Box 1'!$AJ$43</definedName>
    <definedName name="lhas_heeadsss_private_shs" localSheetId="4">'IX. Box 1'!$AJ$57</definedName>
    <definedName name="lhas_hhighta_facility_es" localSheetId="4">'IX. Box 1'!$AB$22</definedName>
    <definedName name="lhas_hhighta_facility_jhs" localSheetId="4">'IX. Box 1'!$AB$36</definedName>
    <definedName name="lhas_hhighta_facility_shs" localSheetId="4">'IX. Box 1'!$AB$50</definedName>
    <definedName name="lhas_hhighta_learners_assessed_es" localSheetId="4">'IX. Box 1'!$X$22</definedName>
    <definedName name="lhas_hhighta_learners_assessed_jhs" localSheetId="4">'IX. Box 1'!$X$36</definedName>
    <definedName name="lhas_hhighta_learners_assessed_shs" localSheetId="4">'IX. Box 1'!$X$50</definedName>
    <definedName name="lhas_hhighta_learners_masterlist_es" localSheetId="4">'IX. Box 1'!$P$22</definedName>
    <definedName name="lhas_hhighta_learners_masterlist_jhs" localSheetId="4">'IX. Box 1'!$P$36</definedName>
    <definedName name="lhas_hhighta_learners_masterlist_shs" localSheetId="4">'IX. Box 1'!$P$50</definedName>
    <definedName name="lhas_hhighta_learners_screening_es" localSheetId="4">'IX. Box 1'!$T$22</definedName>
    <definedName name="lhas_hhighta_learners_screening_jhs" localSheetId="4">'IX. Box 1'!$T$36</definedName>
    <definedName name="lhas_hhighta_learners_screening_shs" localSheetId="4">'IX. Box 1'!$T$50</definedName>
    <definedName name="lhas_hhighta_lgudoh_es" localSheetId="4">'IX. Box 1'!$AF$22</definedName>
    <definedName name="lhas_hhighta_lgudoh_jhs" localSheetId="4">'IX. Box 1'!$AF$36</definedName>
    <definedName name="lhas_hhighta_lgudoh_shs" localSheetId="4">'IX. Box 1'!$AF$50</definedName>
    <definedName name="lhas_hhighta_others_es" localSheetId="4">'IX. Box 1'!$AN$22</definedName>
    <definedName name="lhas_hhighta_others_jhs" localSheetId="4">'IX. Box 1'!$AN$36</definedName>
    <definedName name="lhas_hhighta_others_shs" localSheetId="4">'IX. Box 1'!$AN$50</definedName>
    <definedName name="lhas_hhighta_private_es" localSheetId="4">'IX. Box 1'!$AJ$22</definedName>
    <definedName name="lhas_hhighta_private_jhs" localSheetId="4">'IX. Box 1'!$AJ$36</definedName>
    <definedName name="lhas_hhighta_private_shs" localSheetId="4">'IX. Box 1'!$AJ$50</definedName>
    <definedName name="lhas_hs_facility_es" localSheetId="4">'IX. Box 1'!$AB$25</definedName>
    <definedName name="lhas_hs_facility_jhs" localSheetId="4">'IX. Box 1'!$AB$39</definedName>
    <definedName name="lhas_hs_facility_shs" localSheetId="4">'IX. Box 1'!$AB$53</definedName>
    <definedName name="lhas_hs_learners_assessed_es" localSheetId="4">'IX. Box 1'!$X$25</definedName>
    <definedName name="lhas_hs_learners_assessed_jhs" localSheetId="4">'IX. Box 1'!$X$39</definedName>
    <definedName name="lhas_hs_learners_assessed_shs" localSheetId="4">'IX. Box 1'!$X$53</definedName>
    <definedName name="lhas_hs_learners_masterlist_es" localSheetId="4">'IX. Box 1'!$P$25</definedName>
    <definedName name="lhas_hs_learners_masterlist_jhs" localSheetId="4">'IX. Box 1'!$P$39</definedName>
    <definedName name="lhas_hs_learners_masterlist_shs" localSheetId="4">'IX. Box 1'!$P$53</definedName>
    <definedName name="lhas_hs_learners_screening_es" localSheetId="4">'IX. Box 1'!$T$25</definedName>
    <definedName name="lhas_hs_learners_screening_jhs" localSheetId="4">'IX. Box 1'!$T$39</definedName>
    <definedName name="lhas_hs_learners_screening_shs" localSheetId="4">'IX. Box 1'!$T$53</definedName>
    <definedName name="lhas_hs_lgudoh_es" localSheetId="4">'IX. Box 1'!$AF$25</definedName>
    <definedName name="lhas_hs_lgudoh_jhs" localSheetId="4">'IX. Box 1'!$AF$39</definedName>
    <definedName name="lhas_hs_lgudoh_shs" localSheetId="4">'IX. Box 1'!$AF$53</definedName>
    <definedName name="lhas_hs_others_es" localSheetId="4">'IX. Box 1'!$AN$25</definedName>
    <definedName name="lhas_hs_others_jhs" localSheetId="4">'IX. Box 1'!$AN$39</definedName>
    <definedName name="lhas_hs_others_shs" localSheetId="4">'IX. Box 1'!$AN$53</definedName>
    <definedName name="lhas_hs_private_es" localSheetId="4">'IX. Box 1'!$AJ$25</definedName>
    <definedName name="lhas_hs_private_jhs" localSheetId="4">'IX. Box 1'!$AJ$39</definedName>
    <definedName name="lhas_hs_private_shs" localSheetId="4">'IX. Box 1'!$AJ$53</definedName>
    <definedName name="lhas_na_facility_es" localSheetId="4">'IX. Box 1'!$AB$21</definedName>
    <definedName name="lhas_na_facility_jhs" localSheetId="4">'IX. Box 1'!$AB$35</definedName>
    <definedName name="lhas_na_facility_shs" localSheetId="4">'IX. Box 1'!$AB$49</definedName>
    <definedName name="lhas_na_learners_assessed_es" localSheetId="4">'IX. Box 1'!$X$21</definedName>
    <definedName name="lhas_na_learners_assessed_jhs" localSheetId="4">'IX. Box 1'!$X$35</definedName>
    <definedName name="lhas_na_learners_assessed_shs" localSheetId="4">'IX. Box 1'!$X$49</definedName>
    <definedName name="lhas_na_learners_masterlist_es" localSheetId="4">'IX. Box 1'!$P$21</definedName>
    <definedName name="lhas_na_learners_masterlist_jhs" localSheetId="4">'IX. Box 1'!$P$35</definedName>
    <definedName name="lhas_na_learners_masterlist_shs" localSheetId="4">'IX. Box 1'!$P$49</definedName>
    <definedName name="lhas_na_learners_screening_es" localSheetId="4">'IX. Box 1'!$T$21</definedName>
    <definedName name="lhas_na_learners_screening_jhs" localSheetId="4">'IX. Box 1'!$T$35</definedName>
    <definedName name="lhas_na_learners_screening_shs" localSheetId="4">'IX. Box 1'!$T$49</definedName>
    <definedName name="lhas_na_lgudoh_es" localSheetId="4">'IX. Box 1'!$AF$21</definedName>
    <definedName name="lhas_na_lgudoh_jhs" localSheetId="4">'IX. Box 1'!$AF$35</definedName>
    <definedName name="lhas_na_lgudoh_shs" localSheetId="4">'IX. Box 1'!$AF$49</definedName>
    <definedName name="lhas_na_others_es" localSheetId="4">'IX. Box 1'!$AN$21</definedName>
    <definedName name="lhas_na_others_jhs" localSheetId="4">'IX. Box 1'!$AN$35</definedName>
    <definedName name="lhas_na_others_shs" localSheetId="4">'IX. Box 1'!$AN$49</definedName>
    <definedName name="lhas_na_private_es" localSheetId="4">'IX. Box 1'!$AJ$21</definedName>
    <definedName name="lhas_na_private_jhs" localSheetId="4">'IX. Box 1'!$AJ$35</definedName>
    <definedName name="lhas_na_private_shs" localSheetId="4">'IX. Box 1'!$AJ$49</definedName>
    <definedName name="lhas_oha_facility_es" localSheetId="4">'IX. Box 1'!$AB$26</definedName>
    <definedName name="lhas_oha_facility_jhs" localSheetId="4">'IX. Box 1'!$AB$40</definedName>
    <definedName name="lhas_oha_facility_shs" localSheetId="4">'IX. Box 1'!$AB$54</definedName>
    <definedName name="lhas_oha_learners_assessed_es" localSheetId="4">'IX. Box 1'!$X$26</definedName>
    <definedName name="lhas_oha_learners_assessed_jhs" localSheetId="4">'IX. Box 1'!$X$40</definedName>
    <definedName name="lhas_oha_learners_assessed_shs" localSheetId="4">'IX. Box 1'!$X$54</definedName>
    <definedName name="lhas_oha_learners_masterlist_es" localSheetId="4">'IX. Box 1'!$P$26</definedName>
    <definedName name="lhas_oha_learners_masterlist_jhs" localSheetId="4">'IX. Box 1'!$P$40</definedName>
    <definedName name="lhas_oha_learners_masterlist_shs" localSheetId="4">'IX. Box 1'!$P$54</definedName>
    <definedName name="lhas_oha_learners_screening_es" localSheetId="4">'IX. Box 1'!$T$26</definedName>
    <definedName name="lhas_oha_learners_screening_jhs" localSheetId="4">'IX. Box 1'!$T$40</definedName>
    <definedName name="lhas_oha_learners_screening_shs" localSheetId="4">'IX. Box 1'!$T$54</definedName>
    <definedName name="lhas_oha_lgudoh_es" localSheetId="4">'IX. Box 1'!$AF$26</definedName>
    <definedName name="lhas_oha_lgudoh_jhs" localSheetId="4">'IX. Box 1'!$AF$40</definedName>
    <definedName name="lhas_oha_lgudoh_shs" localSheetId="4">'IX. Box 1'!$AF$54</definedName>
    <definedName name="lhas_oha_others_es" localSheetId="4">'IX. Box 1'!$AN$26</definedName>
    <definedName name="lhas_oha_others_jhs" localSheetId="4">'IX. Box 1'!$AN$40</definedName>
    <definedName name="lhas_oha_others_shs" localSheetId="4">'IX. Box 1'!$AN$54</definedName>
    <definedName name="lhas_oha_private_es" localSheetId="4">'IX. Box 1'!$AJ$26</definedName>
    <definedName name="lhas_oha_private_jhs" localSheetId="4">'IX. Box 1'!$AJ$40</definedName>
    <definedName name="lhas_oha_private_shs" localSheetId="4">'IX. Box 1'!$AJ$54</definedName>
    <definedName name="lhas_vs_facility_es" localSheetId="4">'IX. Box 1'!$AB$24</definedName>
    <definedName name="lhas_vs_facility_jhs" localSheetId="4">'IX. Box 1'!$AB$38</definedName>
    <definedName name="lhas_vs_facility_shs" localSheetId="4">'IX. Box 1'!$AB$52</definedName>
    <definedName name="lhas_vs_learners_assessed_es" localSheetId="4">'IX. Box 1'!$X$24</definedName>
    <definedName name="lhas_vs_learners_assessed_jhs" localSheetId="4">'IX. Box 1'!$X$38</definedName>
    <definedName name="lhas_vs_learners_assessed_shs" localSheetId="4">'IX. Box 1'!$X$52</definedName>
    <definedName name="lhas_vs_learners_masterlist_es" localSheetId="4">'IX. Box 1'!$P$24</definedName>
    <definedName name="lhas_vs_learners_masterlist_jhs" localSheetId="4">'IX. Box 1'!$P$38</definedName>
    <definedName name="lhas_vs_learners_masterlist_shs" localSheetId="4">'IX. Box 1'!$P$52</definedName>
    <definedName name="lhas_vs_learners_screening_es" localSheetId="4">'IX. Box 1'!$T$24</definedName>
    <definedName name="lhas_vs_learners_screening_jhs" localSheetId="4">'IX. Box 1'!$T$38</definedName>
    <definedName name="lhas_vs_learners_screening_shs" localSheetId="4">'IX. Box 1'!$T$52</definedName>
    <definedName name="lhas_vs_lgudoh_es" localSheetId="4">'IX. Box 1'!$AF$24</definedName>
    <definedName name="lhas_vs_lgudoh_jhs" localSheetId="4">'IX. Box 1'!$AF$38</definedName>
    <definedName name="lhas_vs_lgudoh_shs" localSheetId="4">'IX. Box 1'!$AF$52</definedName>
    <definedName name="lhas_vs_others_es" localSheetId="4">'IX. Box 1'!$AN$24</definedName>
    <definedName name="lhas_vs_others_jhs" localSheetId="4">'IX. Box 1'!$AN$38</definedName>
    <definedName name="lhas_vs_others_shs" localSheetId="4">'IX. Box 1'!$AN$52</definedName>
    <definedName name="lhas_vs_private_es" localSheetId="4">'IX. Box 1'!$AJ$24</definedName>
    <definedName name="lhas_vs_private_jhs" localSheetId="4">'IX. Box 1'!$AJ$38</definedName>
    <definedName name="lhas_vs_private_shs" localSheetId="4">'IX. Box 1'!$AJ$52</definedName>
    <definedName name="_xlnm.Print_Area" localSheetId="4">'IX. Table 1.C &amp; 1.D'!$A$1:$BD$38</definedName>
    <definedName name="lhas_cars_facility_es" localSheetId="5">'IX. Box 1'!$AB$27</definedName>
    <definedName name="lhas_cars_facility_jhs" localSheetId="5">'IX. Box 1'!$AB$41</definedName>
    <definedName name="lhas_cars_facility_shs" localSheetId="5">'IX. Box 1'!$AB$55</definedName>
    <definedName name="lhas_cars_learners_assessed_es" localSheetId="5">'IX. Box 1'!$X$27</definedName>
    <definedName name="lhas_cars_learners_assessed_jhs" localSheetId="5">'IX. Box 1'!$X$41</definedName>
    <definedName name="lhas_cars_learners_assessed_shs" localSheetId="5">'IX. Box 1'!$X$55</definedName>
    <definedName name="lhas_cars_learners_masterlist_es" localSheetId="5">'IX. Box 1'!$P$27</definedName>
    <definedName name="lhas_cars_learners_masterlist_jhs" localSheetId="5">'IX. Box 1'!$P$41</definedName>
    <definedName name="lhas_cars_learners_masterlist_shs" localSheetId="5">'IX. Box 1'!$P$55</definedName>
    <definedName name="lhas_cars_learners_screening_es" localSheetId="5">'IX. Box 1'!$T$27</definedName>
    <definedName name="lhas_cars_learners_screening_jhs" localSheetId="5">'IX. Box 1'!$T$41</definedName>
    <definedName name="lhas_cars_learners_screening_shs" localSheetId="5">'IX. Box 1'!$T$55</definedName>
    <definedName name="lhas_cars_lgudoh_es" localSheetId="5">'IX. Box 1'!$AF$27</definedName>
    <definedName name="lhas_cars_lgudoh_jhs" localSheetId="5">'IX. Box 1'!$AF$41</definedName>
    <definedName name="lhas_cars_lgudoh_shs" localSheetId="5">'IX. Box 1'!$AF$55</definedName>
    <definedName name="lhas_cars_others_es" localSheetId="5">'IX. Box 1'!$AN$27</definedName>
    <definedName name="lhas_cars_others_jhs" localSheetId="5">'IX. Box 1'!$AN$41</definedName>
    <definedName name="lhas_cars_others_shs" localSheetId="5">'IX. Box 1'!$AN$55</definedName>
    <definedName name="lhas_cars_private_es" localSheetId="5">'IX. Box 1'!$AJ$27</definedName>
    <definedName name="lhas_cars_private_jhs" localSheetId="5">'IX. Box 1'!$AJ$41</definedName>
    <definedName name="lhas_cars_private_shs" localSheetId="5">'IX. Box 1'!$AJ$55</definedName>
    <definedName name="lhas_heeadsss_facility_es" localSheetId="5">'IX. Box 1'!$AB$29</definedName>
    <definedName name="lhas_heeadsss_facility_jhs" localSheetId="5">'IX. Box 1'!$AB$43</definedName>
    <definedName name="lhas_heeadsss_facility_shs" localSheetId="5">'IX. Box 1'!$AB$57</definedName>
    <definedName name="lhas_heeadsss_learners_assessed_es" localSheetId="5">'IX. Box 1'!$X$29</definedName>
    <definedName name="lhas_heeadsss_learners_assessed_jhs" localSheetId="5">'IX. Box 1'!$X$43</definedName>
    <definedName name="lhas_heeadsss_learners_assessed_shs" localSheetId="5">'IX. Box 1'!$X$57</definedName>
    <definedName name="lhas_heeadsss_learners_masterlist_es" localSheetId="5">'IX. Box 1'!$P$29</definedName>
    <definedName name="lhas_heeadsss_learners_masterlist_jhs" localSheetId="5">'IX. Box 1'!$P$43</definedName>
    <definedName name="lhas_heeadsss_learners_masterlist_shs" localSheetId="5">'IX. Box 1'!$P$57</definedName>
    <definedName name="lhas_heeadsss_learners_screening_es" localSheetId="5">'IX. Box 1'!$T$29</definedName>
    <definedName name="lhas_heeadsss_learners_screening_jhs" localSheetId="5">'IX. Box 1'!$T$43</definedName>
    <definedName name="lhas_heeadsss_learners_screening_shs" localSheetId="5">'IX. Box 1'!$T$57</definedName>
    <definedName name="lhas_heeadsss_lgudoh_es" localSheetId="5">'IX. Box 1'!$AF$29</definedName>
    <definedName name="lhas_heeadsss_lgudoh_jhs" localSheetId="5">'IX. Box 1'!$AF$43</definedName>
    <definedName name="lhas_heeadsss_lgudoh_shs" localSheetId="5">'IX. Box 1'!$AF$57</definedName>
    <definedName name="lhas_heeadsss_others_es" localSheetId="5">'IX. Box 1'!$AN$29</definedName>
    <definedName name="lhas_heeadsss_others_jhs" localSheetId="5">'IX. Box 1'!$AN$43</definedName>
    <definedName name="lhas_heeadsss_others_shs" localSheetId="5">'IX. Box 1'!$AN$57</definedName>
    <definedName name="lhas_heeadsss_private_es" localSheetId="5">'IX. Box 1'!$AJ$29</definedName>
    <definedName name="lhas_heeadsss_private_jhs" localSheetId="5">'IX. Box 1'!$AJ$43</definedName>
    <definedName name="lhas_heeadsss_private_shs" localSheetId="5">'IX. Box 1'!$AJ$57</definedName>
    <definedName name="lhas_hhighta_facility_es" localSheetId="5">'IX. Box 1'!$AB$22</definedName>
    <definedName name="lhas_hhighta_facility_jhs" localSheetId="5">'IX. Box 1'!$AB$36</definedName>
    <definedName name="lhas_hhighta_facility_shs" localSheetId="5">'IX. Box 1'!$AB$50</definedName>
    <definedName name="lhas_hhighta_learners_assessed_es" localSheetId="5">'IX. Box 1'!$X$22</definedName>
    <definedName name="lhas_hhighta_learners_assessed_jhs" localSheetId="5">'IX. Box 1'!$X$36</definedName>
    <definedName name="lhas_hhighta_learners_assessed_shs" localSheetId="5">'IX. Box 1'!$X$50</definedName>
    <definedName name="lhas_hhighta_learners_masterlist_es" localSheetId="5">'IX. Box 1'!$P$22</definedName>
    <definedName name="lhas_hhighta_learners_masterlist_jhs" localSheetId="5">'IX. Box 1'!$P$36</definedName>
    <definedName name="lhas_hhighta_learners_masterlist_shs" localSheetId="5">'IX. Box 1'!$P$50</definedName>
    <definedName name="lhas_hhighta_learners_screening_es" localSheetId="5">'IX. Box 1'!$T$22</definedName>
    <definedName name="lhas_hhighta_learners_screening_jhs" localSheetId="5">'IX. Box 1'!$T$36</definedName>
    <definedName name="lhas_hhighta_learners_screening_shs" localSheetId="5">'IX. Box 1'!$T$50</definedName>
    <definedName name="lhas_hhighta_lgudoh_es" localSheetId="5">'IX. Box 1'!$AF$22</definedName>
    <definedName name="lhas_hhighta_lgudoh_jhs" localSheetId="5">'IX. Box 1'!$AF$36</definedName>
    <definedName name="lhas_hhighta_lgudoh_shs" localSheetId="5">'IX. Box 1'!$AF$50</definedName>
    <definedName name="lhas_hhighta_others_es" localSheetId="5">'IX. Box 1'!$AN$22</definedName>
    <definedName name="lhas_hhighta_others_jhs" localSheetId="5">'IX. Box 1'!$AN$36</definedName>
    <definedName name="lhas_hhighta_others_shs" localSheetId="5">'IX. Box 1'!$AN$50</definedName>
    <definedName name="lhas_hhighta_private_es" localSheetId="5">'IX. Box 1'!$AJ$22</definedName>
    <definedName name="lhas_hhighta_private_jhs" localSheetId="5">'IX. Box 1'!$AJ$36</definedName>
    <definedName name="lhas_hhighta_private_shs" localSheetId="5">'IX. Box 1'!$AJ$50</definedName>
    <definedName name="lhas_hs_facility_es" localSheetId="5">'IX. Box 1'!$AB$25</definedName>
    <definedName name="lhas_hs_facility_jhs" localSheetId="5">'IX. Box 1'!$AB$39</definedName>
    <definedName name="lhas_hs_facility_shs" localSheetId="5">'IX. Box 1'!$AB$53</definedName>
    <definedName name="lhas_hs_learners_assessed_es" localSheetId="5">'IX. Box 1'!$X$25</definedName>
    <definedName name="lhas_hs_learners_assessed_jhs" localSheetId="5">'IX. Box 1'!$X$39</definedName>
    <definedName name="lhas_hs_learners_assessed_shs" localSheetId="5">'IX. Box 1'!$X$53</definedName>
    <definedName name="lhas_hs_learners_masterlist_es" localSheetId="5">'IX. Box 1'!$P$25</definedName>
    <definedName name="lhas_hs_learners_masterlist_jhs" localSheetId="5">'IX. Box 1'!$P$39</definedName>
    <definedName name="lhas_hs_learners_masterlist_shs" localSheetId="5">'IX. Box 1'!$P$53</definedName>
    <definedName name="lhas_hs_learners_screening_es" localSheetId="5">'IX. Box 1'!$T$25</definedName>
    <definedName name="lhas_hs_learners_screening_jhs" localSheetId="5">'IX. Box 1'!$T$39</definedName>
    <definedName name="lhas_hs_learners_screening_shs" localSheetId="5">'IX. Box 1'!$T$53</definedName>
    <definedName name="lhas_hs_lgudoh_es" localSheetId="5">'IX. Box 1'!$AF$25</definedName>
    <definedName name="lhas_hs_lgudoh_jhs" localSheetId="5">'IX. Box 1'!$AF$39</definedName>
    <definedName name="lhas_hs_lgudoh_shs" localSheetId="5">'IX. Box 1'!$AF$53</definedName>
    <definedName name="lhas_hs_others_es" localSheetId="5">'IX. Box 1'!$AN$25</definedName>
    <definedName name="lhas_hs_others_jhs" localSheetId="5">'IX. Box 1'!$AN$39</definedName>
    <definedName name="lhas_hs_others_shs" localSheetId="5">'IX. Box 1'!$AN$53</definedName>
    <definedName name="lhas_hs_private_es" localSheetId="5">'IX. Box 1'!$AJ$25</definedName>
    <definedName name="lhas_hs_private_jhs" localSheetId="5">'IX. Box 1'!$AJ$39</definedName>
    <definedName name="lhas_hs_private_shs" localSheetId="5">'IX. Box 1'!$AJ$53</definedName>
    <definedName name="lhas_na_facility_es" localSheetId="5">'IX. Box 1'!$AB$21</definedName>
    <definedName name="lhas_na_facility_jhs" localSheetId="5">'IX. Box 1'!$AB$35</definedName>
    <definedName name="lhas_na_facility_shs" localSheetId="5">'IX. Box 1'!$AB$49</definedName>
    <definedName name="lhas_na_learners_assessed_es" localSheetId="5">'IX. Box 1'!$X$21</definedName>
    <definedName name="lhas_na_learners_assessed_jhs" localSheetId="5">'IX. Box 1'!$X$35</definedName>
    <definedName name="lhas_na_learners_assessed_shs" localSheetId="5">'IX. Box 1'!$X$49</definedName>
    <definedName name="lhas_na_learners_masterlist_es" localSheetId="5">'IX. Box 1'!$P$21</definedName>
    <definedName name="lhas_na_learners_masterlist_jhs" localSheetId="5">'IX. Box 1'!$P$35</definedName>
    <definedName name="lhas_na_learners_masterlist_shs" localSheetId="5">'IX. Box 1'!$P$49</definedName>
    <definedName name="lhas_na_learners_screening_es" localSheetId="5">'IX. Box 1'!$T$21</definedName>
    <definedName name="lhas_na_learners_screening_jhs" localSheetId="5">'IX. Box 1'!$T$35</definedName>
    <definedName name="lhas_na_learners_screening_shs" localSheetId="5">'IX. Box 1'!$T$49</definedName>
    <definedName name="lhas_na_lgudoh_es" localSheetId="5">'IX. Box 1'!$AF$21</definedName>
    <definedName name="lhas_na_lgudoh_jhs" localSheetId="5">'IX. Box 1'!$AF$35</definedName>
    <definedName name="lhas_na_lgudoh_shs" localSheetId="5">'IX. Box 1'!$AF$49</definedName>
    <definedName name="lhas_na_others_es" localSheetId="5">'IX. Box 1'!$AN$21</definedName>
    <definedName name="lhas_na_others_jhs" localSheetId="5">'IX. Box 1'!$AN$35</definedName>
    <definedName name="lhas_na_others_shs" localSheetId="5">'IX. Box 1'!$AN$49</definedName>
    <definedName name="lhas_na_private_es" localSheetId="5">'IX. Box 1'!$AJ$21</definedName>
    <definedName name="lhas_na_private_jhs" localSheetId="5">'IX. Box 1'!$AJ$35</definedName>
    <definedName name="lhas_na_private_shs" localSheetId="5">'IX. Box 1'!$AJ$49</definedName>
    <definedName name="lhas_oha_facility_es" localSheetId="5">'IX. Box 1'!$AB$26</definedName>
    <definedName name="lhas_oha_facility_jhs" localSheetId="5">'IX. Box 1'!$AB$40</definedName>
    <definedName name="lhas_oha_facility_shs" localSheetId="5">'IX. Box 1'!$AB$54</definedName>
    <definedName name="lhas_oha_learners_assessed_es" localSheetId="5">'IX. Box 1'!$X$26</definedName>
    <definedName name="lhas_oha_learners_assessed_jhs" localSheetId="5">'IX. Box 1'!$X$40</definedName>
    <definedName name="lhas_oha_learners_assessed_shs" localSheetId="5">'IX. Box 1'!$X$54</definedName>
    <definedName name="lhas_oha_learners_masterlist_es" localSheetId="5">'IX. Box 1'!$P$26</definedName>
    <definedName name="lhas_oha_learners_masterlist_jhs" localSheetId="5">'IX. Box 1'!$P$40</definedName>
    <definedName name="lhas_oha_learners_masterlist_shs" localSheetId="5">'IX. Box 1'!$P$54</definedName>
    <definedName name="lhas_oha_learners_screening_es" localSheetId="5">'IX. Box 1'!$T$26</definedName>
    <definedName name="lhas_oha_learners_screening_jhs" localSheetId="5">'IX. Box 1'!$T$40</definedName>
    <definedName name="lhas_oha_learners_screening_shs" localSheetId="5">'IX. Box 1'!$T$54</definedName>
    <definedName name="lhas_oha_lgudoh_es" localSheetId="5">'IX. Box 1'!$AF$26</definedName>
    <definedName name="lhas_oha_lgudoh_jhs" localSheetId="5">'IX. Box 1'!$AF$40</definedName>
    <definedName name="lhas_oha_lgudoh_shs" localSheetId="5">'IX. Box 1'!$AF$54</definedName>
    <definedName name="lhas_oha_others_es" localSheetId="5">'IX. Box 1'!$AN$26</definedName>
    <definedName name="lhas_oha_others_jhs" localSheetId="5">'IX. Box 1'!$AN$40</definedName>
    <definedName name="lhas_oha_others_shs" localSheetId="5">'IX. Box 1'!$AN$54</definedName>
    <definedName name="lhas_oha_private_es" localSheetId="5">'IX. Box 1'!$AJ$26</definedName>
    <definedName name="lhas_oha_private_jhs" localSheetId="5">'IX. Box 1'!$AJ$40</definedName>
    <definedName name="lhas_oha_private_shs" localSheetId="5">'IX. Box 1'!$AJ$54</definedName>
    <definedName name="lhas_vs_facility_es" localSheetId="5">'IX. Box 1'!$AB$24</definedName>
    <definedName name="lhas_vs_facility_jhs" localSheetId="5">'IX. Box 1'!$AB$38</definedName>
    <definedName name="lhas_vs_facility_shs" localSheetId="5">'IX. Box 1'!$AB$52</definedName>
    <definedName name="lhas_vs_learners_assessed_es" localSheetId="5">'IX. Box 1'!$X$24</definedName>
    <definedName name="lhas_vs_learners_assessed_jhs" localSheetId="5">'IX. Box 1'!$X$38</definedName>
    <definedName name="lhas_vs_learners_assessed_shs" localSheetId="5">'IX. Box 1'!$X$52</definedName>
    <definedName name="lhas_vs_learners_masterlist_es" localSheetId="5">'IX. Box 1'!$P$24</definedName>
    <definedName name="lhas_vs_learners_masterlist_jhs" localSheetId="5">'IX. Box 1'!$P$38</definedName>
    <definedName name="lhas_vs_learners_masterlist_shs" localSheetId="5">'IX. Box 1'!$P$52</definedName>
    <definedName name="lhas_vs_learners_screening_es" localSheetId="5">'IX. Box 1'!$T$24</definedName>
    <definedName name="lhas_vs_learners_screening_jhs" localSheetId="5">'IX. Box 1'!$T$38</definedName>
    <definedName name="lhas_vs_learners_screening_shs" localSheetId="5">'IX. Box 1'!$T$52</definedName>
    <definedName name="lhas_vs_lgudoh_es" localSheetId="5">'IX. Box 1'!$AF$24</definedName>
    <definedName name="lhas_vs_lgudoh_jhs" localSheetId="5">'IX. Box 1'!$AF$38</definedName>
    <definedName name="lhas_vs_lgudoh_shs" localSheetId="5">'IX. Box 1'!$AF$52</definedName>
    <definedName name="lhas_vs_others_es" localSheetId="5">'IX. Box 1'!$AN$24</definedName>
    <definedName name="lhas_vs_others_jhs" localSheetId="5">'IX. Box 1'!$AN$38</definedName>
    <definedName name="lhas_vs_others_shs" localSheetId="5">'IX. Box 1'!$AN$52</definedName>
    <definedName name="lhas_vs_private_es" localSheetId="5">'IX. Box 1'!$AJ$24</definedName>
    <definedName name="lhas_vs_private_jhs" localSheetId="5">'IX. Box 1'!$AJ$38</definedName>
    <definedName name="lhas_vs_private_shs" localSheetId="5">'IX. Box 1'!$AJ$52</definedName>
    <definedName name="_xlnm.Print_Area" localSheetId="5">'IX. Boxes 2 &amp; 3; Table 2'!$A$1:$AR$69</definedName>
    <definedName name="lhas_cars_facility_es" localSheetId="6">'IX. Box 1'!$AB$27</definedName>
    <definedName name="lhas_cars_facility_jhs" localSheetId="6">'IX. Box 1'!$AB$41</definedName>
    <definedName name="lhas_cars_facility_shs" localSheetId="6">'IX. Box 1'!$AB$55</definedName>
    <definedName name="lhas_cars_learners_assessed_es" localSheetId="6">'IX. Box 1'!$X$27</definedName>
    <definedName name="lhas_cars_learners_assessed_jhs" localSheetId="6">'IX. Box 1'!$X$41</definedName>
    <definedName name="lhas_cars_learners_assessed_shs" localSheetId="6">'IX. Box 1'!$X$55</definedName>
    <definedName name="lhas_cars_learners_masterlist_es" localSheetId="6">'IX. Box 1'!$P$27</definedName>
    <definedName name="lhas_cars_learners_masterlist_jhs" localSheetId="6">'IX. Box 1'!$P$41</definedName>
    <definedName name="lhas_cars_learners_masterlist_shs" localSheetId="6">'IX. Box 1'!$P$55</definedName>
    <definedName name="lhas_cars_learners_screening_es" localSheetId="6">'IX. Box 1'!$T$27</definedName>
    <definedName name="lhas_cars_learners_screening_jhs" localSheetId="6">'IX. Box 1'!$T$41</definedName>
    <definedName name="lhas_cars_learners_screening_shs" localSheetId="6">'IX. Box 1'!$T$55</definedName>
    <definedName name="lhas_cars_lgudoh_es" localSheetId="6">'IX. Box 1'!$AF$27</definedName>
    <definedName name="lhas_cars_lgudoh_jhs" localSheetId="6">'IX. Box 1'!$AF$41</definedName>
    <definedName name="lhas_cars_lgudoh_shs" localSheetId="6">'IX. Box 1'!$AF$55</definedName>
    <definedName name="lhas_cars_others_es" localSheetId="6">'IX. Box 1'!$AN$27</definedName>
    <definedName name="lhas_cars_others_jhs" localSheetId="6">'IX. Box 1'!$AN$41</definedName>
    <definedName name="lhas_cars_others_shs" localSheetId="6">'IX. Box 1'!$AN$55</definedName>
    <definedName name="lhas_cars_private_es" localSheetId="6">'IX. Box 1'!$AJ$27</definedName>
    <definedName name="lhas_cars_private_jhs" localSheetId="6">'IX. Box 1'!$AJ$41</definedName>
    <definedName name="lhas_cars_private_shs" localSheetId="6">'IX. Box 1'!$AJ$55</definedName>
    <definedName name="lhas_heeadsss_facility_es" localSheetId="6">'IX. Box 1'!$AB$29</definedName>
    <definedName name="lhas_heeadsss_facility_jhs" localSheetId="6">'IX. Box 1'!$AB$43</definedName>
    <definedName name="lhas_heeadsss_facility_shs" localSheetId="6">'IX. Box 1'!$AB$57</definedName>
    <definedName name="lhas_heeadsss_learners_assessed_es" localSheetId="6">'IX. Box 1'!$X$29</definedName>
    <definedName name="lhas_heeadsss_learners_assessed_jhs" localSheetId="6">'IX. Box 1'!$X$43</definedName>
    <definedName name="lhas_heeadsss_learners_assessed_shs" localSheetId="6">'IX. Box 1'!$X$57</definedName>
    <definedName name="lhas_heeadsss_learners_masterlist_es" localSheetId="6">'IX. Box 1'!$P$29</definedName>
    <definedName name="lhas_heeadsss_learners_masterlist_jhs" localSheetId="6">'IX. Box 1'!$P$43</definedName>
    <definedName name="lhas_heeadsss_learners_masterlist_shs" localSheetId="6">'IX. Box 1'!$P$57</definedName>
    <definedName name="lhas_heeadsss_learners_screening_es" localSheetId="6">'IX. Box 1'!$T$29</definedName>
    <definedName name="lhas_heeadsss_learners_screening_jhs" localSheetId="6">'IX. Box 1'!$T$43</definedName>
    <definedName name="lhas_heeadsss_learners_screening_shs" localSheetId="6">'IX. Box 1'!$T$57</definedName>
    <definedName name="lhas_heeadsss_lgudoh_es" localSheetId="6">'IX. Box 1'!$AF$29</definedName>
    <definedName name="lhas_heeadsss_lgudoh_jhs" localSheetId="6">'IX. Box 1'!$AF$43</definedName>
    <definedName name="lhas_heeadsss_lgudoh_shs" localSheetId="6">'IX. Box 1'!$AF$57</definedName>
    <definedName name="lhas_heeadsss_others_es" localSheetId="6">'IX. Box 1'!$AN$29</definedName>
    <definedName name="lhas_heeadsss_others_jhs" localSheetId="6">'IX. Box 1'!$AN$43</definedName>
    <definedName name="lhas_heeadsss_others_shs" localSheetId="6">'IX. Box 1'!$AN$57</definedName>
    <definedName name="lhas_heeadsss_private_es" localSheetId="6">'IX. Box 1'!$AJ$29</definedName>
    <definedName name="lhas_heeadsss_private_jhs" localSheetId="6">'IX. Box 1'!$AJ$43</definedName>
    <definedName name="lhas_heeadsss_private_shs" localSheetId="6">'IX. Box 1'!$AJ$57</definedName>
    <definedName name="lhas_hhighta_facility_es" localSheetId="6">'IX. Box 1'!$AB$22</definedName>
    <definedName name="lhas_hhighta_facility_jhs" localSheetId="6">'IX. Box 1'!$AB$36</definedName>
    <definedName name="lhas_hhighta_facility_shs" localSheetId="6">'IX. Box 1'!$AB$50</definedName>
    <definedName name="lhas_hhighta_learners_assessed_es" localSheetId="6">'IX. Box 1'!$X$22</definedName>
    <definedName name="lhas_hhighta_learners_assessed_jhs" localSheetId="6">'IX. Box 1'!$X$36</definedName>
    <definedName name="lhas_hhighta_learners_assessed_shs" localSheetId="6">'IX. Box 1'!$X$50</definedName>
    <definedName name="lhas_hhighta_learners_masterlist_es" localSheetId="6">'IX. Box 1'!$P$22</definedName>
    <definedName name="lhas_hhighta_learners_masterlist_jhs" localSheetId="6">'IX. Box 1'!$P$36</definedName>
    <definedName name="lhas_hhighta_learners_masterlist_shs" localSheetId="6">'IX. Box 1'!$P$50</definedName>
    <definedName name="lhas_hhighta_learners_screening_es" localSheetId="6">'IX. Box 1'!$T$22</definedName>
    <definedName name="lhas_hhighta_learners_screening_jhs" localSheetId="6">'IX. Box 1'!$T$36</definedName>
    <definedName name="lhas_hhighta_learners_screening_shs" localSheetId="6">'IX. Box 1'!$T$50</definedName>
    <definedName name="lhas_hhighta_lgudoh_es" localSheetId="6">'IX. Box 1'!$AF$22</definedName>
    <definedName name="lhas_hhighta_lgudoh_jhs" localSheetId="6">'IX. Box 1'!$AF$36</definedName>
    <definedName name="lhas_hhighta_lgudoh_shs" localSheetId="6">'IX. Box 1'!$AF$50</definedName>
    <definedName name="lhas_hhighta_others_es" localSheetId="6">'IX. Box 1'!$AN$22</definedName>
    <definedName name="lhas_hhighta_others_jhs" localSheetId="6">'IX. Box 1'!$AN$36</definedName>
    <definedName name="lhas_hhighta_others_shs" localSheetId="6">'IX. Box 1'!$AN$50</definedName>
    <definedName name="lhas_hhighta_private_es" localSheetId="6">'IX. Box 1'!$AJ$22</definedName>
    <definedName name="lhas_hhighta_private_jhs" localSheetId="6">'IX. Box 1'!$AJ$36</definedName>
    <definedName name="lhas_hhighta_private_shs" localSheetId="6">'IX. Box 1'!$AJ$50</definedName>
    <definedName name="lhas_hs_facility_es" localSheetId="6">'IX. Box 1'!$AB$25</definedName>
    <definedName name="lhas_hs_facility_jhs" localSheetId="6">'IX. Box 1'!$AB$39</definedName>
    <definedName name="lhas_hs_facility_shs" localSheetId="6">'IX. Box 1'!$AB$53</definedName>
    <definedName name="lhas_hs_learners_assessed_es" localSheetId="6">'IX. Box 1'!$X$25</definedName>
    <definedName name="lhas_hs_learners_assessed_jhs" localSheetId="6">'IX. Box 1'!$X$39</definedName>
    <definedName name="lhas_hs_learners_assessed_shs" localSheetId="6">'IX. Box 1'!$X$53</definedName>
    <definedName name="lhas_hs_learners_masterlist_es" localSheetId="6">'IX. Box 1'!$P$25</definedName>
    <definedName name="lhas_hs_learners_masterlist_jhs" localSheetId="6">'IX. Box 1'!$P$39</definedName>
    <definedName name="lhas_hs_learners_masterlist_shs" localSheetId="6">'IX. Box 1'!$P$53</definedName>
    <definedName name="lhas_hs_learners_screening_es" localSheetId="6">'IX. Box 1'!$T$25</definedName>
    <definedName name="lhas_hs_learners_screening_jhs" localSheetId="6">'IX. Box 1'!$T$39</definedName>
    <definedName name="lhas_hs_learners_screening_shs" localSheetId="6">'IX. Box 1'!$T$53</definedName>
    <definedName name="lhas_hs_lgudoh_es" localSheetId="6">'IX. Box 1'!$AF$25</definedName>
    <definedName name="lhas_hs_lgudoh_jhs" localSheetId="6">'IX. Box 1'!$AF$39</definedName>
    <definedName name="lhas_hs_lgudoh_shs" localSheetId="6">'IX. Box 1'!$AF$53</definedName>
    <definedName name="lhas_hs_others_es" localSheetId="6">'IX. Box 1'!$AN$25</definedName>
    <definedName name="lhas_hs_others_jhs" localSheetId="6">'IX. Box 1'!$AN$39</definedName>
    <definedName name="lhas_hs_others_shs" localSheetId="6">'IX. Box 1'!$AN$53</definedName>
    <definedName name="lhas_hs_private_es" localSheetId="6">'IX. Box 1'!$AJ$25</definedName>
    <definedName name="lhas_hs_private_jhs" localSheetId="6">'IX. Box 1'!$AJ$39</definedName>
    <definedName name="lhas_hs_private_shs" localSheetId="6">'IX. Box 1'!$AJ$53</definedName>
    <definedName name="lhas_na_facility_es" localSheetId="6">'IX. Box 1'!$AB$21</definedName>
    <definedName name="lhas_na_facility_jhs" localSheetId="6">'IX. Box 1'!$AB$35</definedName>
    <definedName name="lhas_na_facility_shs" localSheetId="6">'IX. Box 1'!$AB$49</definedName>
    <definedName name="lhas_na_learners_assessed_es" localSheetId="6">'IX. Box 1'!$X$21</definedName>
    <definedName name="lhas_na_learners_assessed_jhs" localSheetId="6">'IX. Box 1'!$X$35</definedName>
    <definedName name="lhas_na_learners_assessed_shs" localSheetId="6">'IX. Box 1'!$X$49</definedName>
    <definedName name="lhas_na_learners_masterlist_es" localSheetId="6">'IX. Box 1'!$P$21</definedName>
    <definedName name="lhas_na_learners_masterlist_jhs" localSheetId="6">'IX. Box 1'!$P$35</definedName>
    <definedName name="lhas_na_learners_masterlist_shs" localSheetId="6">'IX. Box 1'!$P$49</definedName>
    <definedName name="lhas_na_learners_screening_es" localSheetId="6">'IX. Box 1'!$T$21</definedName>
    <definedName name="lhas_na_learners_screening_jhs" localSheetId="6">'IX. Box 1'!$T$35</definedName>
    <definedName name="lhas_na_learners_screening_shs" localSheetId="6">'IX. Box 1'!$T$49</definedName>
    <definedName name="lhas_na_lgudoh_es" localSheetId="6">'IX. Box 1'!$AF$21</definedName>
    <definedName name="lhas_na_lgudoh_jhs" localSheetId="6">'IX. Box 1'!$AF$35</definedName>
    <definedName name="lhas_na_lgudoh_shs" localSheetId="6">'IX. Box 1'!$AF$49</definedName>
    <definedName name="lhas_na_others_es" localSheetId="6">'IX. Box 1'!$AN$21</definedName>
    <definedName name="lhas_na_others_jhs" localSheetId="6">'IX. Box 1'!$AN$35</definedName>
    <definedName name="lhas_na_others_shs" localSheetId="6">'IX. Box 1'!$AN$49</definedName>
    <definedName name="lhas_na_private_es" localSheetId="6">'IX. Box 1'!$AJ$21</definedName>
    <definedName name="lhas_na_private_jhs" localSheetId="6">'IX. Box 1'!$AJ$35</definedName>
    <definedName name="lhas_na_private_shs" localSheetId="6">'IX. Box 1'!$AJ$49</definedName>
    <definedName name="lhas_oha_facility_es" localSheetId="6">'IX. Box 1'!$AB$26</definedName>
    <definedName name="lhas_oha_facility_jhs" localSheetId="6">'IX. Box 1'!$AB$40</definedName>
    <definedName name="lhas_oha_facility_shs" localSheetId="6">'IX. Box 1'!$AB$54</definedName>
    <definedName name="lhas_oha_learners_assessed_es" localSheetId="6">'IX. Box 1'!$X$26</definedName>
    <definedName name="lhas_oha_learners_assessed_jhs" localSheetId="6">'IX. Box 1'!$X$40</definedName>
    <definedName name="lhas_oha_learners_assessed_shs" localSheetId="6">'IX. Box 1'!$X$54</definedName>
    <definedName name="lhas_oha_learners_masterlist_es" localSheetId="6">'IX. Box 1'!$P$26</definedName>
    <definedName name="lhas_oha_learners_masterlist_jhs" localSheetId="6">'IX. Box 1'!$P$40</definedName>
    <definedName name="lhas_oha_learners_masterlist_shs" localSheetId="6">'IX. Box 1'!$P$54</definedName>
    <definedName name="lhas_oha_learners_screening_es" localSheetId="6">'IX. Box 1'!$T$26</definedName>
    <definedName name="lhas_oha_learners_screening_jhs" localSheetId="6">'IX. Box 1'!$T$40</definedName>
    <definedName name="lhas_oha_learners_screening_shs" localSheetId="6">'IX. Box 1'!$T$54</definedName>
    <definedName name="lhas_oha_lgudoh_es" localSheetId="6">'IX. Box 1'!$AF$26</definedName>
    <definedName name="lhas_oha_lgudoh_jhs" localSheetId="6">'IX. Box 1'!$AF$40</definedName>
    <definedName name="lhas_oha_lgudoh_shs" localSheetId="6">'IX. Box 1'!$AF$54</definedName>
    <definedName name="lhas_oha_others_es" localSheetId="6">'IX. Box 1'!$AN$26</definedName>
    <definedName name="lhas_oha_others_jhs" localSheetId="6">'IX. Box 1'!$AN$40</definedName>
    <definedName name="lhas_oha_others_shs" localSheetId="6">'IX. Box 1'!$AN$54</definedName>
    <definedName name="lhas_oha_private_es" localSheetId="6">'IX. Box 1'!$AJ$26</definedName>
    <definedName name="lhas_oha_private_jhs" localSheetId="6">'IX. Box 1'!$AJ$40</definedName>
    <definedName name="lhas_oha_private_shs" localSheetId="6">'IX. Box 1'!$AJ$54</definedName>
    <definedName name="lhas_vs_facility_es" localSheetId="6">'IX. Box 1'!$AB$24</definedName>
    <definedName name="lhas_vs_facility_jhs" localSheetId="6">'IX. Box 1'!$AB$38</definedName>
    <definedName name="lhas_vs_facility_shs" localSheetId="6">'IX. Box 1'!$AB$52</definedName>
    <definedName name="lhas_vs_learners_assessed_es" localSheetId="6">'IX. Box 1'!$X$24</definedName>
    <definedName name="lhas_vs_learners_assessed_jhs" localSheetId="6">'IX. Box 1'!$X$38</definedName>
    <definedName name="lhas_vs_learners_assessed_shs" localSheetId="6">'IX. Box 1'!$X$52</definedName>
    <definedName name="lhas_vs_learners_masterlist_es" localSheetId="6">'IX. Box 1'!$P$24</definedName>
    <definedName name="lhas_vs_learners_masterlist_jhs" localSheetId="6">'IX. Box 1'!$P$38</definedName>
    <definedName name="lhas_vs_learners_masterlist_shs" localSheetId="6">'IX. Box 1'!$P$52</definedName>
    <definedName name="lhas_vs_learners_screening_es" localSheetId="6">'IX. Box 1'!$T$24</definedName>
    <definedName name="lhas_vs_learners_screening_jhs" localSheetId="6">'IX. Box 1'!$T$38</definedName>
    <definedName name="lhas_vs_learners_screening_shs" localSheetId="6">'IX. Box 1'!$T$52</definedName>
    <definedName name="lhas_vs_lgudoh_es" localSheetId="6">'IX. Box 1'!$AF$24</definedName>
    <definedName name="lhas_vs_lgudoh_jhs" localSheetId="6">'IX. Box 1'!$AF$38</definedName>
    <definedName name="lhas_vs_lgudoh_shs" localSheetId="6">'IX. Box 1'!$AF$52</definedName>
    <definedName name="lhas_vs_others_es" localSheetId="6">'IX. Box 1'!$AN$24</definedName>
    <definedName name="lhas_vs_others_jhs" localSheetId="6">'IX. Box 1'!$AN$38</definedName>
    <definedName name="lhas_vs_others_shs" localSheetId="6">'IX. Box 1'!$AN$52</definedName>
    <definedName name="lhas_vs_private_es" localSheetId="6">'IX. Box 1'!$AJ$24</definedName>
    <definedName name="lhas_vs_private_jhs" localSheetId="6">'IX. Box 1'!$AJ$38</definedName>
    <definedName name="lhas_vs_private_shs" localSheetId="6">'IX. Box 1'!$AJ$52</definedName>
    <definedName name="_xlnm.Print_Area" localSheetId="6">'IX. Box 4'!$A$1:$AX$55</definedName>
    <definedName name="lhas_cars_facility_es" localSheetId="7">'IX. Box 1'!$AB$27</definedName>
    <definedName name="lhas_cars_facility_jhs" localSheetId="7">'IX. Box 1'!$AB$41</definedName>
    <definedName name="lhas_cars_facility_shs" localSheetId="7">'IX. Box 1'!$AB$55</definedName>
    <definedName name="lhas_cars_learners_assessed_es" localSheetId="7">'IX. Box 1'!$X$27</definedName>
    <definedName name="lhas_cars_learners_assessed_jhs" localSheetId="7">'IX. Box 1'!$X$41</definedName>
    <definedName name="lhas_cars_learners_assessed_shs" localSheetId="7">'IX. Box 1'!$X$55</definedName>
    <definedName name="lhas_cars_learners_masterlist_es" localSheetId="7">'IX. Box 1'!$P$27</definedName>
    <definedName name="lhas_cars_learners_masterlist_jhs" localSheetId="7">'IX. Box 1'!$P$41</definedName>
    <definedName name="lhas_cars_learners_masterlist_shs" localSheetId="7">'IX. Box 1'!$P$55</definedName>
    <definedName name="lhas_cars_learners_screening_es" localSheetId="7">'IX. Box 1'!$T$27</definedName>
    <definedName name="lhas_cars_learners_screening_jhs" localSheetId="7">'IX. Box 1'!$T$41</definedName>
    <definedName name="lhas_cars_learners_screening_shs" localSheetId="7">'IX. Box 1'!$T$55</definedName>
    <definedName name="lhas_cars_lgudoh_es" localSheetId="7">'IX. Box 1'!$AF$27</definedName>
    <definedName name="lhas_cars_lgudoh_jhs" localSheetId="7">'IX. Box 1'!$AF$41</definedName>
    <definedName name="lhas_cars_lgudoh_shs" localSheetId="7">'IX. Box 1'!$AF$55</definedName>
    <definedName name="lhas_cars_others_es" localSheetId="7">'IX. Box 1'!$AN$27</definedName>
    <definedName name="lhas_cars_others_jhs" localSheetId="7">'IX. Box 1'!$AN$41</definedName>
    <definedName name="lhas_cars_others_shs" localSheetId="7">'IX. Box 1'!$AN$55</definedName>
    <definedName name="lhas_cars_private_es" localSheetId="7">'IX. Box 1'!$AJ$27</definedName>
    <definedName name="lhas_cars_private_jhs" localSheetId="7">'IX. Box 1'!$AJ$41</definedName>
    <definedName name="lhas_cars_private_shs" localSheetId="7">'IX. Box 1'!$AJ$55</definedName>
    <definedName name="lhas_heeadsss_facility_es" localSheetId="7">'IX. Box 1'!$AB$29</definedName>
    <definedName name="lhas_heeadsss_facility_jhs" localSheetId="7">'IX. Box 1'!$AB$43</definedName>
    <definedName name="lhas_heeadsss_facility_shs" localSheetId="7">'IX. Box 1'!$AB$57</definedName>
    <definedName name="lhas_heeadsss_learners_assessed_es" localSheetId="7">'IX. Box 1'!$X$29</definedName>
    <definedName name="lhas_heeadsss_learners_assessed_jhs" localSheetId="7">'IX. Box 1'!$X$43</definedName>
    <definedName name="lhas_heeadsss_learners_assessed_shs" localSheetId="7">'IX. Box 1'!$X$57</definedName>
    <definedName name="lhas_heeadsss_learners_masterlist_es" localSheetId="7">'IX. Box 1'!$P$29</definedName>
    <definedName name="lhas_heeadsss_learners_masterlist_jhs" localSheetId="7">'IX. Box 1'!$P$43</definedName>
    <definedName name="lhas_heeadsss_learners_masterlist_shs" localSheetId="7">'IX. Box 1'!$P$57</definedName>
    <definedName name="lhas_heeadsss_learners_screening_es" localSheetId="7">'IX. Box 1'!$T$29</definedName>
    <definedName name="lhas_heeadsss_learners_screening_jhs" localSheetId="7">'IX. Box 1'!$T$43</definedName>
    <definedName name="lhas_heeadsss_learners_screening_shs" localSheetId="7">'IX. Box 1'!$T$57</definedName>
    <definedName name="lhas_heeadsss_lgudoh_es" localSheetId="7">'IX. Box 1'!$AF$29</definedName>
    <definedName name="lhas_heeadsss_lgudoh_jhs" localSheetId="7">'IX. Box 1'!$AF$43</definedName>
    <definedName name="lhas_heeadsss_lgudoh_shs" localSheetId="7">'IX. Box 1'!$AF$57</definedName>
    <definedName name="lhas_heeadsss_others_es" localSheetId="7">'IX. Box 1'!$AN$29</definedName>
    <definedName name="lhas_heeadsss_others_jhs" localSheetId="7">'IX. Box 1'!$AN$43</definedName>
    <definedName name="lhas_heeadsss_others_shs" localSheetId="7">'IX. Box 1'!$AN$57</definedName>
    <definedName name="lhas_heeadsss_private_es" localSheetId="7">'IX. Box 1'!$AJ$29</definedName>
    <definedName name="lhas_heeadsss_private_jhs" localSheetId="7">'IX. Box 1'!$AJ$43</definedName>
    <definedName name="lhas_heeadsss_private_shs" localSheetId="7">'IX. Box 1'!$AJ$57</definedName>
    <definedName name="lhas_hhighta_facility_es" localSheetId="7">'IX. Box 1'!$AB$22</definedName>
    <definedName name="lhas_hhighta_facility_jhs" localSheetId="7">'IX. Box 1'!$AB$36</definedName>
    <definedName name="lhas_hhighta_facility_shs" localSheetId="7">'IX. Box 1'!$AB$50</definedName>
    <definedName name="lhas_hhighta_learners_assessed_es" localSheetId="7">'IX. Box 1'!$X$22</definedName>
    <definedName name="lhas_hhighta_learners_assessed_jhs" localSheetId="7">'IX. Box 1'!$X$36</definedName>
    <definedName name="lhas_hhighta_learners_assessed_shs" localSheetId="7">'IX. Box 1'!$X$50</definedName>
    <definedName name="lhas_hhighta_learners_masterlist_es" localSheetId="7">'IX. Box 1'!$P$22</definedName>
    <definedName name="lhas_hhighta_learners_masterlist_jhs" localSheetId="7">'IX. Box 1'!$P$36</definedName>
    <definedName name="lhas_hhighta_learners_masterlist_shs" localSheetId="7">'IX. Box 1'!$P$50</definedName>
    <definedName name="lhas_hhighta_learners_screening_es" localSheetId="7">'IX. Box 1'!$T$22</definedName>
    <definedName name="lhas_hhighta_learners_screening_jhs" localSheetId="7">'IX. Box 1'!$T$36</definedName>
    <definedName name="lhas_hhighta_learners_screening_shs" localSheetId="7">'IX. Box 1'!$T$50</definedName>
    <definedName name="lhas_hhighta_lgudoh_es" localSheetId="7">'IX. Box 1'!$AF$22</definedName>
    <definedName name="lhas_hhighta_lgudoh_jhs" localSheetId="7">'IX. Box 1'!$AF$36</definedName>
    <definedName name="lhas_hhighta_lgudoh_shs" localSheetId="7">'IX. Box 1'!$AF$50</definedName>
    <definedName name="lhas_hhighta_others_es" localSheetId="7">'IX. Box 1'!$AN$22</definedName>
    <definedName name="lhas_hhighta_others_jhs" localSheetId="7">'IX. Box 1'!$AN$36</definedName>
    <definedName name="lhas_hhighta_others_shs" localSheetId="7">'IX. Box 1'!$AN$50</definedName>
    <definedName name="lhas_hhighta_private_es" localSheetId="7">'IX. Box 1'!$AJ$22</definedName>
    <definedName name="lhas_hhighta_private_jhs" localSheetId="7">'IX. Box 1'!$AJ$36</definedName>
    <definedName name="lhas_hhighta_private_shs" localSheetId="7">'IX. Box 1'!$AJ$50</definedName>
    <definedName name="lhas_hs_facility_es" localSheetId="7">'IX. Box 1'!$AB$25</definedName>
    <definedName name="lhas_hs_facility_jhs" localSheetId="7">'IX. Box 1'!$AB$39</definedName>
    <definedName name="lhas_hs_facility_shs" localSheetId="7">'IX. Box 1'!$AB$53</definedName>
    <definedName name="lhas_hs_learners_assessed_es" localSheetId="7">'IX. Box 1'!$X$25</definedName>
    <definedName name="lhas_hs_learners_assessed_jhs" localSheetId="7">'IX. Box 1'!$X$39</definedName>
    <definedName name="lhas_hs_learners_assessed_shs" localSheetId="7">'IX. Box 1'!$X$53</definedName>
    <definedName name="lhas_hs_learners_masterlist_es" localSheetId="7">'IX. Box 1'!$P$25</definedName>
    <definedName name="lhas_hs_learners_masterlist_jhs" localSheetId="7">'IX. Box 1'!$P$39</definedName>
    <definedName name="lhas_hs_learners_masterlist_shs" localSheetId="7">'IX. Box 1'!$P$53</definedName>
    <definedName name="lhas_hs_learners_screening_es" localSheetId="7">'IX. Box 1'!$T$25</definedName>
    <definedName name="lhas_hs_learners_screening_jhs" localSheetId="7">'IX. Box 1'!$T$39</definedName>
    <definedName name="lhas_hs_learners_screening_shs" localSheetId="7">'IX. Box 1'!$T$53</definedName>
    <definedName name="lhas_hs_lgudoh_es" localSheetId="7">'IX. Box 1'!$AF$25</definedName>
    <definedName name="lhas_hs_lgudoh_jhs" localSheetId="7">'IX. Box 1'!$AF$39</definedName>
    <definedName name="lhas_hs_lgudoh_shs" localSheetId="7">'IX. Box 1'!$AF$53</definedName>
    <definedName name="lhas_hs_others_es" localSheetId="7">'IX. Box 1'!$AN$25</definedName>
    <definedName name="lhas_hs_others_jhs" localSheetId="7">'IX. Box 1'!$AN$39</definedName>
    <definedName name="lhas_hs_others_shs" localSheetId="7">'IX. Box 1'!$AN$53</definedName>
    <definedName name="lhas_hs_private_es" localSheetId="7">'IX. Box 1'!$AJ$25</definedName>
    <definedName name="lhas_hs_private_jhs" localSheetId="7">'IX. Box 1'!$AJ$39</definedName>
    <definedName name="lhas_hs_private_shs" localSheetId="7">'IX. Box 1'!$AJ$53</definedName>
    <definedName name="lhas_na_facility_es" localSheetId="7">'IX. Box 1'!$AB$21</definedName>
    <definedName name="lhas_na_facility_jhs" localSheetId="7">'IX. Box 1'!$AB$35</definedName>
    <definedName name="lhas_na_facility_shs" localSheetId="7">'IX. Box 1'!$AB$49</definedName>
    <definedName name="lhas_na_learners_assessed_es" localSheetId="7">'IX. Box 1'!$X$21</definedName>
    <definedName name="lhas_na_learners_assessed_jhs" localSheetId="7">'IX. Box 1'!$X$35</definedName>
    <definedName name="lhas_na_learners_assessed_shs" localSheetId="7">'IX. Box 1'!$X$49</definedName>
    <definedName name="lhas_na_learners_masterlist_es" localSheetId="7">'IX. Box 1'!$P$21</definedName>
    <definedName name="lhas_na_learners_masterlist_jhs" localSheetId="7">'IX. Box 1'!$P$35</definedName>
    <definedName name="lhas_na_learners_masterlist_shs" localSheetId="7">'IX. Box 1'!$P$49</definedName>
    <definedName name="lhas_na_learners_screening_es" localSheetId="7">'IX. Box 1'!$T$21</definedName>
    <definedName name="lhas_na_learners_screening_jhs" localSheetId="7">'IX. Box 1'!$T$35</definedName>
    <definedName name="lhas_na_learners_screening_shs" localSheetId="7">'IX. Box 1'!$T$49</definedName>
    <definedName name="lhas_na_lgudoh_es" localSheetId="7">'IX. Box 1'!$AF$21</definedName>
    <definedName name="lhas_na_lgudoh_jhs" localSheetId="7">'IX. Box 1'!$AF$35</definedName>
    <definedName name="lhas_na_lgudoh_shs" localSheetId="7">'IX. Box 1'!$AF$49</definedName>
    <definedName name="lhas_na_others_es" localSheetId="7">'IX. Box 1'!$AN$21</definedName>
    <definedName name="lhas_na_others_jhs" localSheetId="7">'IX. Box 1'!$AN$35</definedName>
    <definedName name="lhas_na_others_shs" localSheetId="7">'IX. Box 1'!$AN$49</definedName>
    <definedName name="lhas_na_private_es" localSheetId="7">'IX. Box 1'!$AJ$21</definedName>
    <definedName name="lhas_na_private_jhs" localSheetId="7">'IX. Box 1'!$AJ$35</definedName>
    <definedName name="lhas_na_private_shs" localSheetId="7">'IX. Box 1'!$AJ$49</definedName>
    <definedName name="lhas_oha_facility_es" localSheetId="7">'IX. Box 1'!$AB$26</definedName>
    <definedName name="lhas_oha_facility_jhs" localSheetId="7">'IX. Box 1'!$AB$40</definedName>
    <definedName name="lhas_oha_facility_shs" localSheetId="7">'IX. Box 1'!$AB$54</definedName>
    <definedName name="lhas_oha_learners_assessed_es" localSheetId="7">'IX. Box 1'!$X$26</definedName>
    <definedName name="lhas_oha_learners_assessed_jhs" localSheetId="7">'IX. Box 1'!$X$40</definedName>
    <definedName name="lhas_oha_learners_assessed_shs" localSheetId="7">'IX. Box 1'!$X$54</definedName>
    <definedName name="lhas_oha_learners_masterlist_es" localSheetId="7">'IX. Box 1'!$P$26</definedName>
    <definedName name="lhas_oha_learners_masterlist_jhs" localSheetId="7">'IX. Box 1'!$P$40</definedName>
    <definedName name="lhas_oha_learners_masterlist_shs" localSheetId="7">'IX. Box 1'!$P$54</definedName>
    <definedName name="lhas_oha_learners_screening_es" localSheetId="7">'IX. Box 1'!$T$26</definedName>
    <definedName name="lhas_oha_learners_screening_jhs" localSheetId="7">'IX. Box 1'!$T$40</definedName>
    <definedName name="lhas_oha_learners_screening_shs" localSheetId="7">'IX. Box 1'!$T$54</definedName>
    <definedName name="lhas_oha_lgudoh_es" localSheetId="7">'IX. Box 1'!$AF$26</definedName>
    <definedName name="lhas_oha_lgudoh_jhs" localSheetId="7">'IX. Box 1'!$AF$40</definedName>
    <definedName name="lhas_oha_lgudoh_shs" localSheetId="7">'IX. Box 1'!$AF$54</definedName>
    <definedName name="lhas_oha_others_es" localSheetId="7">'IX. Box 1'!$AN$26</definedName>
    <definedName name="lhas_oha_others_jhs" localSheetId="7">'IX. Box 1'!$AN$40</definedName>
    <definedName name="lhas_oha_others_shs" localSheetId="7">'IX. Box 1'!$AN$54</definedName>
    <definedName name="lhas_oha_private_es" localSheetId="7">'IX. Box 1'!$AJ$26</definedName>
    <definedName name="lhas_oha_private_jhs" localSheetId="7">'IX. Box 1'!$AJ$40</definedName>
    <definedName name="lhas_oha_private_shs" localSheetId="7">'IX. Box 1'!$AJ$54</definedName>
    <definedName name="lhas_vs_facility_es" localSheetId="7">'IX. Box 1'!$AB$24</definedName>
    <definedName name="lhas_vs_facility_jhs" localSheetId="7">'IX. Box 1'!$AB$38</definedName>
    <definedName name="lhas_vs_facility_shs" localSheetId="7">'IX. Box 1'!$AB$52</definedName>
    <definedName name="lhas_vs_learners_assessed_es" localSheetId="7">'IX. Box 1'!$X$24</definedName>
    <definedName name="lhas_vs_learners_assessed_jhs" localSheetId="7">'IX. Box 1'!$X$38</definedName>
    <definedName name="lhas_vs_learners_assessed_shs" localSheetId="7">'IX. Box 1'!$X$52</definedName>
    <definedName name="lhas_vs_learners_masterlist_es" localSheetId="7">'IX. Box 1'!$P$24</definedName>
    <definedName name="lhas_vs_learners_masterlist_jhs" localSheetId="7">'IX. Box 1'!$P$38</definedName>
    <definedName name="lhas_vs_learners_masterlist_shs" localSheetId="7">'IX. Box 1'!$P$52</definedName>
    <definedName name="lhas_vs_learners_screening_es" localSheetId="7">'IX. Box 1'!$T$24</definedName>
    <definedName name="lhas_vs_learners_screening_jhs" localSheetId="7">'IX. Box 1'!$T$38</definedName>
    <definedName name="lhas_vs_learners_screening_shs" localSheetId="7">'IX. Box 1'!$T$52</definedName>
    <definedName name="lhas_vs_lgudoh_es" localSheetId="7">'IX. Box 1'!$AF$24</definedName>
    <definedName name="lhas_vs_lgudoh_jhs" localSheetId="7">'IX. Box 1'!$AF$38</definedName>
    <definedName name="lhas_vs_lgudoh_shs" localSheetId="7">'IX. Box 1'!$AF$52</definedName>
    <definedName name="lhas_vs_others_es" localSheetId="7">'IX. Box 1'!$AN$24</definedName>
    <definedName name="lhas_vs_others_jhs" localSheetId="7">'IX. Box 1'!$AN$38</definedName>
    <definedName name="lhas_vs_others_shs" localSheetId="7">'IX. Box 1'!$AN$52</definedName>
    <definedName name="lhas_vs_private_es" localSheetId="7">'IX. Box 1'!$AJ$24</definedName>
    <definedName name="lhas_vs_private_jhs" localSheetId="7">'IX. Box 1'!$AJ$38</definedName>
    <definedName name="lhas_vs_private_shs" localSheetId="7">'IX. Box 1'!$AJ$52</definedName>
    <definedName name="_xlnm.Print_Area" localSheetId="7">'IX. Boxes 5 &amp; 6'!$A$1:$BB$55</definedName>
    <definedName name="lhas_cars_facility_es" localSheetId="8">'IX. Box 1'!$AB$27</definedName>
    <definedName name="lhas_cars_facility_jhs" localSheetId="8">'IX. Box 1'!$AB$41</definedName>
    <definedName name="lhas_cars_facility_shs" localSheetId="8">'IX. Box 1'!$AB$55</definedName>
    <definedName name="lhas_cars_learners_assessed_es" localSheetId="8">'IX. Box 1'!$X$27</definedName>
    <definedName name="lhas_cars_learners_assessed_jhs" localSheetId="8">'IX. Box 1'!$X$41</definedName>
    <definedName name="lhas_cars_learners_assessed_shs" localSheetId="8">'IX. Box 1'!$X$55</definedName>
    <definedName name="lhas_cars_learners_masterlist_es" localSheetId="8">'IX. Box 1'!$P$27</definedName>
    <definedName name="lhas_cars_learners_masterlist_jhs" localSheetId="8">'IX. Box 1'!$P$41</definedName>
    <definedName name="lhas_cars_learners_masterlist_shs" localSheetId="8">'IX. Box 1'!$P$55</definedName>
    <definedName name="lhas_cars_learners_screening_es" localSheetId="8">'IX. Box 1'!$T$27</definedName>
    <definedName name="lhas_cars_learners_screening_jhs" localSheetId="8">'IX. Box 1'!$T$41</definedName>
    <definedName name="lhas_cars_learners_screening_shs" localSheetId="8">'IX. Box 1'!$T$55</definedName>
    <definedName name="lhas_cars_lgudoh_es" localSheetId="8">'IX. Box 1'!$AF$27</definedName>
    <definedName name="lhas_cars_lgudoh_jhs" localSheetId="8">'IX. Box 1'!$AF$41</definedName>
    <definedName name="lhas_cars_lgudoh_shs" localSheetId="8">'IX. Box 1'!$AF$55</definedName>
    <definedName name="lhas_cars_others_es" localSheetId="8">'IX. Box 1'!$AN$27</definedName>
    <definedName name="lhas_cars_others_jhs" localSheetId="8">'IX. Box 1'!$AN$41</definedName>
    <definedName name="lhas_cars_others_shs" localSheetId="8">'IX. Box 1'!$AN$55</definedName>
    <definedName name="lhas_cars_private_es" localSheetId="8">'IX. Box 1'!$AJ$27</definedName>
    <definedName name="lhas_cars_private_jhs" localSheetId="8">'IX. Box 1'!$AJ$41</definedName>
    <definedName name="lhas_cars_private_shs" localSheetId="8">'IX. Box 1'!$AJ$55</definedName>
    <definedName name="lhas_heeadsss_facility_es" localSheetId="8">'IX. Box 1'!$AB$29</definedName>
    <definedName name="lhas_heeadsss_facility_jhs" localSheetId="8">'IX. Box 1'!$AB$43</definedName>
    <definedName name="lhas_heeadsss_facility_shs" localSheetId="8">'IX. Box 1'!$AB$57</definedName>
    <definedName name="lhas_heeadsss_learners_assessed_es" localSheetId="8">'IX. Box 1'!$X$29</definedName>
    <definedName name="lhas_heeadsss_learners_assessed_jhs" localSheetId="8">'IX. Box 1'!$X$43</definedName>
    <definedName name="lhas_heeadsss_learners_assessed_shs" localSheetId="8">'IX. Box 1'!$X$57</definedName>
    <definedName name="lhas_heeadsss_learners_masterlist_es" localSheetId="8">'IX. Box 1'!$P$29</definedName>
    <definedName name="lhas_heeadsss_learners_masterlist_jhs" localSheetId="8">'IX. Box 1'!$P$43</definedName>
    <definedName name="lhas_heeadsss_learners_masterlist_shs" localSheetId="8">'IX. Box 1'!$P$57</definedName>
    <definedName name="lhas_heeadsss_learners_screening_es" localSheetId="8">'IX. Box 1'!$T$29</definedName>
    <definedName name="lhas_heeadsss_learners_screening_jhs" localSheetId="8">'IX. Box 1'!$T$43</definedName>
    <definedName name="lhas_heeadsss_learners_screening_shs" localSheetId="8">'IX. Box 1'!$T$57</definedName>
    <definedName name="lhas_heeadsss_lgudoh_es" localSheetId="8">'IX. Box 1'!$AF$29</definedName>
    <definedName name="lhas_heeadsss_lgudoh_jhs" localSheetId="8">'IX. Box 1'!$AF$43</definedName>
    <definedName name="lhas_heeadsss_lgudoh_shs" localSheetId="8">'IX. Box 1'!$AF$57</definedName>
    <definedName name="lhas_heeadsss_others_es" localSheetId="8">'IX. Box 1'!$AN$29</definedName>
    <definedName name="lhas_heeadsss_others_jhs" localSheetId="8">'IX. Box 1'!$AN$43</definedName>
    <definedName name="lhas_heeadsss_others_shs" localSheetId="8">'IX. Box 1'!$AN$57</definedName>
    <definedName name="lhas_heeadsss_private_es" localSheetId="8">'IX. Box 1'!$AJ$29</definedName>
    <definedName name="lhas_heeadsss_private_jhs" localSheetId="8">'IX. Box 1'!$AJ$43</definedName>
    <definedName name="lhas_heeadsss_private_shs" localSheetId="8">'IX. Box 1'!$AJ$57</definedName>
    <definedName name="lhas_hhighta_facility_es" localSheetId="8">'IX. Box 1'!$AB$22</definedName>
    <definedName name="lhas_hhighta_facility_jhs" localSheetId="8">'IX. Box 1'!$AB$36</definedName>
    <definedName name="lhas_hhighta_facility_shs" localSheetId="8">'IX. Box 1'!$AB$50</definedName>
    <definedName name="lhas_hhighta_learners_assessed_es" localSheetId="8">'IX. Box 1'!$X$22</definedName>
    <definedName name="lhas_hhighta_learners_assessed_jhs" localSheetId="8">'IX. Box 1'!$X$36</definedName>
    <definedName name="lhas_hhighta_learners_assessed_shs" localSheetId="8">'IX. Box 1'!$X$50</definedName>
    <definedName name="lhas_hhighta_learners_masterlist_es" localSheetId="8">'IX. Box 1'!$P$22</definedName>
    <definedName name="lhas_hhighta_learners_masterlist_jhs" localSheetId="8">'IX. Box 1'!$P$36</definedName>
    <definedName name="lhas_hhighta_learners_masterlist_shs" localSheetId="8">'IX. Box 1'!$P$50</definedName>
    <definedName name="lhas_hhighta_learners_screening_es" localSheetId="8">'IX. Box 1'!$T$22</definedName>
    <definedName name="lhas_hhighta_learners_screening_jhs" localSheetId="8">'IX. Box 1'!$T$36</definedName>
    <definedName name="lhas_hhighta_learners_screening_shs" localSheetId="8">'IX. Box 1'!$T$50</definedName>
    <definedName name="lhas_hhighta_lgudoh_es" localSheetId="8">'IX. Box 1'!$AF$22</definedName>
    <definedName name="lhas_hhighta_lgudoh_jhs" localSheetId="8">'IX. Box 1'!$AF$36</definedName>
    <definedName name="lhas_hhighta_lgudoh_shs" localSheetId="8">'IX. Box 1'!$AF$50</definedName>
    <definedName name="lhas_hhighta_others_es" localSheetId="8">'IX. Box 1'!$AN$22</definedName>
    <definedName name="lhas_hhighta_others_jhs" localSheetId="8">'IX. Box 1'!$AN$36</definedName>
    <definedName name="lhas_hhighta_others_shs" localSheetId="8">'IX. Box 1'!$AN$50</definedName>
    <definedName name="lhas_hhighta_private_es" localSheetId="8">'IX. Box 1'!$AJ$22</definedName>
    <definedName name="lhas_hhighta_private_jhs" localSheetId="8">'IX. Box 1'!$AJ$36</definedName>
    <definedName name="lhas_hhighta_private_shs" localSheetId="8">'IX. Box 1'!$AJ$50</definedName>
    <definedName name="lhas_hs_facility_es" localSheetId="8">'IX. Box 1'!$AB$25</definedName>
    <definedName name="lhas_hs_facility_jhs" localSheetId="8">'IX. Box 1'!$AB$39</definedName>
    <definedName name="lhas_hs_facility_shs" localSheetId="8">'IX. Box 1'!$AB$53</definedName>
    <definedName name="lhas_hs_learners_assessed_es" localSheetId="8">'IX. Box 1'!$X$25</definedName>
    <definedName name="lhas_hs_learners_assessed_jhs" localSheetId="8">'IX. Box 1'!$X$39</definedName>
    <definedName name="lhas_hs_learners_assessed_shs" localSheetId="8">'IX. Box 1'!$X$53</definedName>
    <definedName name="lhas_hs_learners_masterlist_es" localSheetId="8">'IX. Box 1'!$P$25</definedName>
    <definedName name="lhas_hs_learners_masterlist_jhs" localSheetId="8">'IX. Box 1'!$P$39</definedName>
    <definedName name="lhas_hs_learners_masterlist_shs" localSheetId="8">'IX. Box 1'!$P$53</definedName>
    <definedName name="lhas_hs_learners_screening_es" localSheetId="8">'IX. Box 1'!$T$25</definedName>
    <definedName name="lhas_hs_learners_screening_jhs" localSheetId="8">'IX. Box 1'!$T$39</definedName>
    <definedName name="lhas_hs_learners_screening_shs" localSheetId="8">'IX. Box 1'!$T$53</definedName>
    <definedName name="lhas_hs_lgudoh_es" localSheetId="8">'IX. Box 1'!$AF$25</definedName>
    <definedName name="lhas_hs_lgudoh_jhs" localSheetId="8">'IX. Box 1'!$AF$39</definedName>
    <definedName name="lhas_hs_lgudoh_shs" localSheetId="8">'IX. Box 1'!$AF$53</definedName>
    <definedName name="lhas_hs_others_es" localSheetId="8">'IX. Box 1'!$AN$25</definedName>
    <definedName name="lhas_hs_others_jhs" localSheetId="8">'IX. Box 1'!$AN$39</definedName>
    <definedName name="lhas_hs_others_shs" localSheetId="8">'IX. Box 1'!$AN$53</definedName>
    <definedName name="lhas_hs_private_es" localSheetId="8">'IX. Box 1'!$AJ$25</definedName>
    <definedName name="lhas_hs_private_jhs" localSheetId="8">'IX. Box 1'!$AJ$39</definedName>
    <definedName name="lhas_hs_private_shs" localSheetId="8">'IX. Box 1'!$AJ$53</definedName>
    <definedName name="lhas_na_facility_es" localSheetId="8">'IX. Box 1'!$AB$21</definedName>
    <definedName name="lhas_na_facility_jhs" localSheetId="8">'IX. Box 1'!$AB$35</definedName>
    <definedName name="lhas_na_facility_shs" localSheetId="8">'IX. Box 1'!$AB$49</definedName>
    <definedName name="lhas_na_learners_assessed_es" localSheetId="8">'IX. Box 1'!$X$21</definedName>
    <definedName name="lhas_na_learners_assessed_jhs" localSheetId="8">'IX. Box 1'!$X$35</definedName>
    <definedName name="lhas_na_learners_assessed_shs" localSheetId="8">'IX. Box 1'!$X$49</definedName>
    <definedName name="lhas_na_learners_masterlist_es" localSheetId="8">'IX. Box 1'!$P$21</definedName>
    <definedName name="lhas_na_learners_masterlist_jhs" localSheetId="8">'IX. Box 1'!$P$35</definedName>
    <definedName name="lhas_na_learners_masterlist_shs" localSheetId="8">'IX. Box 1'!$P$49</definedName>
    <definedName name="lhas_na_learners_screening_es" localSheetId="8">'IX. Box 1'!$T$21</definedName>
    <definedName name="lhas_na_learners_screening_jhs" localSheetId="8">'IX. Box 1'!$T$35</definedName>
    <definedName name="lhas_na_learners_screening_shs" localSheetId="8">'IX. Box 1'!$T$49</definedName>
    <definedName name="lhas_na_lgudoh_es" localSheetId="8">'IX. Box 1'!$AF$21</definedName>
    <definedName name="lhas_na_lgudoh_jhs" localSheetId="8">'IX. Box 1'!$AF$35</definedName>
    <definedName name="lhas_na_lgudoh_shs" localSheetId="8">'IX. Box 1'!$AF$49</definedName>
    <definedName name="lhas_na_others_es" localSheetId="8">'IX. Box 1'!$AN$21</definedName>
    <definedName name="lhas_na_others_jhs" localSheetId="8">'IX. Box 1'!$AN$35</definedName>
    <definedName name="lhas_na_others_shs" localSheetId="8">'IX. Box 1'!$AN$49</definedName>
    <definedName name="lhas_na_private_es" localSheetId="8">'IX. Box 1'!$AJ$21</definedName>
    <definedName name="lhas_na_private_jhs" localSheetId="8">'IX. Box 1'!$AJ$35</definedName>
    <definedName name="lhas_na_private_shs" localSheetId="8">'IX. Box 1'!$AJ$49</definedName>
    <definedName name="lhas_oha_facility_es" localSheetId="8">'IX. Box 1'!$AB$26</definedName>
    <definedName name="lhas_oha_facility_jhs" localSheetId="8">'IX. Box 1'!$AB$40</definedName>
    <definedName name="lhas_oha_facility_shs" localSheetId="8">'IX. Box 1'!$AB$54</definedName>
    <definedName name="lhas_oha_learners_assessed_es" localSheetId="8">'IX. Box 1'!$X$26</definedName>
    <definedName name="lhas_oha_learners_assessed_jhs" localSheetId="8">'IX. Box 1'!$X$40</definedName>
    <definedName name="lhas_oha_learners_assessed_shs" localSheetId="8">'IX. Box 1'!$X$54</definedName>
    <definedName name="lhas_oha_learners_masterlist_es" localSheetId="8">'IX. Box 1'!$P$26</definedName>
    <definedName name="lhas_oha_learners_masterlist_jhs" localSheetId="8">'IX. Box 1'!$P$40</definedName>
    <definedName name="lhas_oha_learners_masterlist_shs" localSheetId="8">'IX. Box 1'!$P$54</definedName>
    <definedName name="lhas_oha_learners_screening_es" localSheetId="8">'IX. Box 1'!$T$26</definedName>
    <definedName name="lhas_oha_learners_screening_jhs" localSheetId="8">'IX. Box 1'!$T$40</definedName>
    <definedName name="lhas_oha_learners_screening_shs" localSheetId="8">'IX. Box 1'!$T$54</definedName>
    <definedName name="lhas_oha_lgudoh_es" localSheetId="8">'IX. Box 1'!$AF$26</definedName>
    <definedName name="lhas_oha_lgudoh_jhs" localSheetId="8">'IX. Box 1'!$AF$40</definedName>
    <definedName name="lhas_oha_lgudoh_shs" localSheetId="8">'IX. Box 1'!$AF$54</definedName>
    <definedName name="lhas_oha_others_es" localSheetId="8">'IX. Box 1'!$AN$26</definedName>
    <definedName name="lhas_oha_others_jhs" localSheetId="8">'IX. Box 1'!$AN$40</definedName>
    <definedName name="lhas_oha_others_shs" localSheetId="8">'IX. Box 1'!$AN$54</definedName>
    <definedName name="lhas_oha_private_es" localSheetId="8">'IX. Box 1'!$AJ$26</definedName>
    <definedName name="lhas_oha_private_jhs" localSheetId="8">'IX. Box 1'!$AJ$40</definedName>
    <definedName name="lhas_oha_private_shs" localSheetId="8">'IX. Box 1'!$AJ$54</definedName>
    <definedName name="lhas_vs_facility_es" localSheetId="8">'IX. Box 1'!$AB$24</definedName>
    <definedName name="lhas_vs_facility_jhs" localSheetId="8">'IX. Box 1'!$AB$38</definedName>
    <definedName name="lhas_vs_facility_shs" localSheetId="8">'IX. Box 1'!$AB$52</definedName>
    <definedName name="lhas_vs_learners_assessed_es" localSheetId="8">'IX. Box 1'!$X$24</definedName>
    <definedName name="lhas_vs_learners_assessed_jhs" localSheetId="8">'IX. Box 1'!$X$38</definedName>
    <definedName name="lhas_vs_learners_assessed_shs" localSheetId="8">'IX. Box 1'!$X$52</definedName>
    <definedName name="lhas_vs_learners_masterlist_es" localSheetId="8">'IX. Box 1'!$P$24</definedName>
    <definedName name="lhas_vs_learners_masterlist_jhs" localSheetId="8">'IX. Box 1'!$P$38</definedName>
    <definedName name="lhas_vs_learners_masterlist_shs" localSheetId="8">'IX. Box 1'!$P$52</definedName>
    <definedName name="lhas_vs_learners_screening_es" localSheetId="8">'IX. Box 1'!$T$24</definedName>
    <definedName name="lhas_vs_learners_screening_jhs" localSheetId="8">'IX. Box 1'!$T$38</definedName>
    <definedName name="lhas_vs_learners_screening_shs" localSheetId="8">'IX. Box 1'!$T$52</definedName>
    <definedName name="lhas_vs_lgudoh_es" localSheetId="8">'IX. Box 1'!$AF$24</definedName>
    <definedName name="lhas_vs_lgudoh_jhs" localSheetId="8">'IX. Box 1'!$AF$38</definedName>
    <definedName name="lhas_vs_lgudoh_shs" localSheetId="8">'IX. Box 1'!$AF$52</definedName>
    <definedName name="lhas_vs_others_es" localSheetId="8">'IX. Box 1'!$AN$24</definedName>
    <definedName name="lhas_vs_others_jhs" localSheetId="8">'IX. Box 1'!$AN$38</definedName>
    <definedName name="lhas_vs_others_shs" localSheetId="8">'IX. Box 1'!$AN$52</definedName>
    <definedName name="lhas_vs_private_es" localSheetId="8">'IX. Box 1'!$AJ$24</definedName>
    <definedName name="lhas_vs_private_jhs" localSheetId="8">'IX. Box 1'!$AJ$38</definedName>
    <definedName name="lhas_vs_private_shs" localSheetId="8">'IX. Box 1'!$AJ$52</definedName>
    <definedName name="_xlnm.Print_Area" localSheetId="8">'IX. Boxes 7 to 9'!$A$1:$AP$69</definedName>
    <definedName name="lhas_cars_facility_es" localSheetId="9">'IX. Box 1'!$AB$27</definedName>
    <definedName name="lhas_cars_facility_jhs" localSheetId="9">'IX. Box 1'!$AB$41</definedName>
    <definedName name="lhas_cars_facility_shs" localSheetId="9">'IX. Box 1'!$AB$55</definedName>
    <definedName name="lhas_cars_learners_assessed_es" localSheetId="9">'IX. Box 1'!$X$27</definedName>
    <definedName name="lhas_cars_learners_assessed_jhs" localSheetId="9">'IX. Box 1'!$X$41</definedName>
    <definedName name="lhas_cars_learners_assessed_shs" localSheetId="9">'IX. Box 1'!$X$55</definedName>
    <definedName name="lhas_cars_learners_masterlist_es" localSheetId="9">'IX. Box 1'!$P$27</definedName>
    <definedName name="lhas_cars_learners_masterlist_jhs" localSheetId="9">'IX. Box 1'!$P$41</definedName>
    <definedName name="lhas_cars_learners_masterlist_shs" localSheetId="9">'IX. Box 1'!$P$55</definedName>
    <definedName name="lhas_cars_learners_screening_es" localSheetId="9">'IX. Box 1'!$T$27</definedName>
    <definedName name="lhas_cars_learners_screening_jhs" localSheetId="9">'IX. Box 1'!$T$41</definedName>
    <definedName name="lhas_cars_learners_screening_shs" localSheetId="9">'IX. Box 1'!$T$55</definedName>
    <definedName name="lhas_cars_lgudoh_es" localSheetId="9">'IX. Box 1'!$AF$27</definedName>
    <definedName name="lhas_cars_lgudoh_jhs" localSheetId="9">'IX. Box 1'!$AF$41</definedName>
    <definedName name="lhas_cars_lgudoh_shs" localSheetId="9">'IX. Box 1'!$AF$55</definedName>
    <definedName name="lhas_cars_others_es" localSheetId="9">'IX. Box 1'!$AN$27</definedName>
    <definedName name="lhas_cars_others_jhs" localSheetId="9">'IX. Box 1'!$AN$41</definedName>
    <definedName name="lhas_cars_others_shs" localSheetId="9">'IX. Box 1'!$AN$55</definedName>
    <definedName name="lhas_cars_private_es" localSheetId="9">'IX. Box 1'!$AJ$27</definedName>
    <definedName name="lhas_cars_private_jhs" localSheetId="9">'IX. Box 1'!$AJ$41</definedName>
    <definedName name="lhas_cars_private_shs" localSheetId="9">'IX. Box 1'!$AJ$55</definedName>
    <definedName name="lhas_heeadsss_facility_es" localSheetId="9">'IX. Box 1'!$AB$29</definedName>
    <definedName name="lhas_heeadsss_facility_jhs" localSheetId="9">'IX. Box 1'!$AB$43</definedName>
    <definedName name="lhas_heeadsss_facility_shs" localSheetId="9">'IX. Box 1'!$AB$57</definedName>
    <definedName name="lhas_heeadsss_learners_assessed_es" localSheetId="9">'IX. Box 1'!$X$29</definedName>
    <definedName name="lhas_heeadsss_learners_assessed_jhs" localSheetId="9">'IX. Box 1'!$X$43</definedName>
    <definedName name="lhas_heeadsss_learners_assessed_shs" localSheetId="9">'IX. Box 1'!$X$57</definedName>
    <definedName name="lhas_heeadsss_learners_masterlist_es" localSheetId="9">'IX. Box 1'!$P$29</definedName>
    <definedName name="lhas_heeadsss_learners_masterlist_jhs" localSheetId="9">'IX. Box 1'!$P$43</definedName>
    <definedName name="lhas_heeadsss_learners_masterlist_shs" localSheetId="9">'IX. Box 1'!$P$57</definedName>
    <definedName name="lhas_heeadsss_learners_screening_es" localSheetId="9">'IX. Box 1'!$T$29</definedName>
    <definedName name="lhas_heeadsss_learners_screening_jhs" localSheetId="9">'IX. Box 1'!$T$43</definedName>
    <definedName name="lhas_heeadsss_learners_screening_shs" localSheetId="9">'IX. Box 1'!$T$57</definedName>
    <definedName name="lhas_heeadsss_lgudoh_es" localSheetId="9">'IX. Box 1'!$AF$29</definedName>
    <definedName name="lhas_heeadsss_lgudoh_jhs" localSheetId="9">'IX. Box 1'!$AF$43</definedName>
    <definedName name="lhas_heeadsss_lgudoh_shs" localSheetId="9">'IX. Box 1'!$AF$57</definedName>
    <definedName name="lhas_heeadsss_others_es" localSheetId="9">'IX. Box 1'!$AN$29</definedName>
    <definedName name="lhas_heeadsss_others_jhs" localSheetId="9">'IX. Box 1'!$AN$43</definedName>
    <definedName name="lhas_heeadsss_others_shs" localSheetId="9">'IX. Box 1'!$AN$57</definedName>
    <definedName name="lhas_heeadsss_private_es" localSheetId="9">'IX. Box 1'!$AJ$29</definedName>
    <definedName name="lhas_heeadsss_private_jhs" localSheetId="9">'IX. Box 1'!$AJ$43</definedName>
    <definedName name="lhas_heeadsss_private_shs" localSheetId="9">'IX. Box 1'!$AJ$57</definedName>
    <definedName name="lhas_hhighta_facility_es" localSheetId="9">'IX. Box 1'!$AB$22</definedName>
    <definedName name="lhas_hhighta_facility_jhs" localSheetId="9">'IX. Box 1'!$AB$36</definedName>
    <definedName name="lhas_hhighta_facility_shs" localSheetId="9">'IX. Box 1'!$AB$50</definedName>
    <definedName name="lhas_hhighta_learners_assessed_es" localSheetId="9">'IX. Box 1'!$X$22</definedName>
    <definedName name="lhas_hhighta_learners_assessed_jhs" localSheetId="9">'IX. Box 1'!$X$36</definedName>
    <definedName name="lhas_hhighta_learners_assessed_shs" localSheetId="9">'IX. Box 1'!$X$50</definedName>
    <definedName name="lhas_hhighta_learners_masterlist_es" localSheetId="9">'IX. Box 1'!$P$22</definedName>
    <definedName name="lhas_hhighta_learners_masterlist_jhs" localSheetId="9">'IX. Box 1'!$P$36</definedName>
    <definedName name="lhas_hhighta_learners_masterlist_shs" localSheetId="9">'IX. Box 1'!$P$50</definedName>
    <definedName name="lhas_hhighta_learners_screening_es" localSheetId="9">'IX. Box 1'!$T$22</definedName>
    <definedName name="lhas_hhighta_learners_screening_jhs" localSheetId="9">'IX. Box 1'!$T$36</definedName>
    <definedName name="lhas_hhighta_learners_screening_shs" localSheetId="9">'IX. Box 1'!$T$50</definedName>
    <definedName name="lhas_hhighta_lgudoh_es" localSheetId="9">'IX. Box 1'!$AF$22</definedName>
    <definedName name="lhas_hhighta_lgudoh_jhs" localSheetId="9">'IX. Box 1'!$AF$36</definedName>
    <definedName name="lhas_hhighta_lgudoh_shs" localSheetId="9">'IX. Box 1'!$AF$50</definedName>
    <definedName name="lhas_hhighta_others_es" localSheetId="9">'IX. Box 1'!$AN$22</definedName>
    <definedName name="lhas_hhighta_others_jhs" localSheetId="9">'IX. Box 1'!$AN$36</definedName>
    <definedName name="lhas_hhighta_others_shs" localSheetId="9">'IX. Box 1'!$AN$50</definedName>
    <definedName name="lhas_hhighta_private_es" localSheetId="9">'IX. Box 1'!$AJ$22</definedName>
    <definedName name="lhas_hhighta_private_jhs" localSheetId="9">'IX. Box 1'!$AJ$36</definedName>
    <definedName name="lhas_hhighta_private_shs" localSheetId="9">'IX. Box 1'!$AJ$50</definedName>
    <definedName name="lhas_hs_facility_es" localSheetId="9">'IX. Box 1'!$AB$25</definedName>
    <definedName name="lhas_hs_facility_jhs" localSheetId="9">'IX. Box 1'!$AB$39</definedName>
    <definedName name="lhas_hs_facility_shs" localSheetId="9">'IX. Box 1'!$AB$53</definedName>
    <definedName name="lhas_hs_learners_assessed_es" localSheetId="9">'IX. Box 1'!$X$25</definedName>
    <definedName name="lhas_hs_learners_assessed_jhs" localSheetId="9">'IX. Box 1'!$X$39</definedName>
    <definedName name="lhas_hs_learners_assessed_shs" localSheetId="9">'IX. Box 1'!$X$53</definedName>
    <definedName name="lhas_hs_learners_masterlist_es" localSheetId="9">'IX. Box 1'!$P$25</definedName>
    <definedName name="lhas_hs_learners_masterlist_jhs" localSheetId="9">'IX. Box 1'!$P$39</definedName>
    <definedName name="lhas_hs_learners_masterlist_shs" localSheetId="9">'IX. Box 1'!$P$53</definedName>
    <definedName name="lhas_hs_learners_screening_es" localSheetId="9">'IX. Box 1'!$T$25</definedName>
    <definedName name="lhas_hs_learners_screening_jhs" localSheetId="9">'IX. Box 1'!$T$39</definedName>
    <definedName name="lhas_hs_learners_screening_shs" localSheetId="9">'IX. Box 1'!$T$53</definedName>
    <definedName name="lhas_hs_lgudoh_es" localSheetId="9">'IX. Box 1'!$AF$25</definedName>
    <definedName name="lhas_hs_lgudoh_jhs" localSheetId="9">'IX. Box 1'!$AF$39</definedName>
    <definedName name="lhas_hs_lgudoh_shs" localSheetId="9">'IX. Box 1'!$AF$53</definedName>
    <definedName name="lhas_hs_others_es" localSheetId="9">'IX. Box 1'!$AN$25</definedName>
    <definedName name="lhas_hs_others_jhs" localSheetId="9">'IX. Box 1'!$AN$39</definedName>
    <definedName name="lhas_hs_others_shs" localSheetId="9">'IX. Box 1'!$AN$53</definedName>
    <definedName name="lhas_hs_private_es" localSheetId="9">'IX. Box 1'!$AJ$25</definedName>
    <definedName name="lhas_hs_private_jhs" localSheetId="9">'IX. Box 1'!$AJ$39</definedName>
    <definedName name="lhas_hs_private_shs" localSheetId="9">'IX. Box 1'!$AJ$53</definedName>
    <definedName name="lhas_na_facility_es" localSheetId="9">'IX. Box 1'!$AB$21</definedName>
    <definedName name="lhas_na_facility_jhs" localSheetId="9">'IX. Box 1'!$AB$35</definedName>
    <definedName name="lhas_na_facility_shs" localSheetId="9">'IX. Box 1'!$AB$49</definedName>
    <definedName name="lhas_na_learners_assessed_es" localSheetId="9">'IX. Box 1'!$X$21</definedName>
    <definedName name="lhas_na_learners_assessed_jhs" localSheetId="9">'IX. Box 1'!$X$35</definedName>
    <definedName name="lhas_na_learners_assessed_shs" localSheetId="9">'IX. Box 1'!$X$49</definedName>
    <definedName name="lhas_na_learners_masterlist_es" localSheetId="9">'IX. Box 1'!$P$21</definedName>
    <definedName name="lhas_na_learners_masterlist_jhs" localSheetId="9">'IX. Box 1'!$P$35</definedName>
    <definedName name="lhas_na_learners_masterlist_shs" localSheetId="9">'IX. Box 1'!$P$49</definedName>
    <definedName name="lhas_na_learners_screening_es" localSheetId="9">'IX. Box 1'!$T$21</definedName>
    <definedName name="lhas_na_learners_screening_jhs" localSheetId="9">'IX. Box 1'!$T$35</definedName>
    <definedName name="lhas_na_learners_screening_shs" localSheetId="9">'IX. Box 1'!$T$49</definedName>
    <definedName name="lhas_na_lgudoh_es" localSheetId="9">'IX. Box 1'!$AF$21</definedName>
    <definedName name="lhas_na_lgudoh_jhs" localSheetId="9">'IX. Box 1'!$AF$35</definedName>
    <definedName name="lhas_na_lgudoh_shs" localSheetId="9">'IX. Box 1'!$AF$49</definedName>
    <definedName name="lhas_na_others_es" localSheetId="9">'IX. Box 1'!$AN$21</definedName>
    <definedName name="lhas_na_others_jhs" localSheetId="9">'IX. Box 1'!$AN$35</definedName>
    <definedName name="lhas_na_others_shs" localSheetId="9">'IX. Box 1'!$AN$49</definedName>
    <definedName name="lhas_na_private_es" localSheetId="9">'IX. Box 1'!$AJ$21</definedName>
    <definedName name="lhas_na_private_jhs" localSheetId="9">'IX. Box 1'!$AJ$35</definedName>
    <definedName name="lhas_na_private_shs" localSheetId="9">'IX. Box 1'!$AJ$49</definedName>
    <definedName name="lhas_oha_facility_es" localSheetId="9">'IX. Box 1'!$AB$26</definedName>
    <definedName name="lhas_oha_facility_jhs" localSheetId="9">'IX. Box 1'!$AB$40</definedName>
    <definedName name="lhas_oha_facility_shs" localSheetId="9">'IX. Box 1'!$AB$54</definedName>
    <definedName name="lhas_oha_learners_assessed_es" localSheetId="9">'IX. Box 1'!$X$26</definedName>
    <definedName name="lhas_oha_learners_assessed_jhs" localSheetId="9">'IX. Box 1'!$X$40</definedName>
    <definedName name="lhas_oha_learners_assessed_shs" localSheetId="9">'IX. Box 1'!$X$54</definedName>
    <definedName name="lhas_oha_learners_masterlist_es" localSheetId="9">'IX. Box 1'!$P$26</definedName>
    <definedName name="lhas_oha_learners_masterlist_jhs" localSheetId="9">'IX. Box 1'!$P$40</definedName>
    <definedName name="lhas_oha_learners_masterlist_shs" localSheetId="9">'IX. Box 1'!$P$54</definedName>
    <definedName name="lhas_oha_learners_screening_es" localSheetId="9">'IX. Box 1'!$T$26</definedName>
    <definedName name="lhas_oha_learners_screening_jhs" localSheetId="9">'IX. Box 1'!$T$40</definedName>
    <definedName name="lhas_oha_learners_screening_shs" localSheetId="9">'IX. Box 1'!$T$54</definedName>
    <definedName name="lhas_oha_lgudoh_es" localSheetId="9">'IX. Box 1'!$AF$26</definedName>
    <definedName name="lhas_oha_lgudoh_jhs" localSheetId="9">'IX. Box 1'!$AF$40</definedName>
    <definedName name="lhas_oha_lgudoh_shs" localSheetId="9">'IX. Box 1'!$AF$54</definedName>
    <definedName name="lhas_oha_others_es" localSheetId="9">'IX. Box 1'!$AN$26</definedName>
    <definedName name="lhas_oha_others_jhs" localSheetId="9">'IX. Box 1'!$AN$40</definedName>
    <definedName name="lhas_oha_others_shs" localSheetId="9">'IX. Box 1'!$AN$54</definedName>
    <definedName name="lhas_oha_private_es" localSheetId="9">'IX. Box 1'!$AJ$26</definedName>
    <definedName name="lhas_oha_private_jhs" localSheetId="9">'IX. Box 1'!$AJ$40</definedName>
    <definedName name="lhas_oha_private_shs" localSheetId="9">'IX. Box 1'!$AJ$54</definedName>
    <definedName name="lhas_vs_facility_es" localSheetId="9">'IX. Box 1'!$AB$24</definedName>
    <definedName name="lhas_vs_facility_jhs" localSheetId="9">'IX. Box 1'!$AB$38</definedName>
    <definedName name="lhas_vs_facility_shs" localSheetId="9">'IX. Box 1'!$AB$52</definedName>
    <definedName name="lhas_vs_learners_assessed_es" localSheetId="9">'IX. Box 1'!$X$24</definedName>
    <definedName name="lhas_vs_learners_assessed_jhs" localSheetId="9">'IX. Box 1'!$X$38</definedName>
    <definedName name="lhas_vs_learners_assessed_shs" localSheetId="9">'IX. Box 1'!$X$52</definedName>
    <definedName name="lhas_vs_learners_masterlist_es" localSheetId="9">'IX. Box 1'!$P$24</definedName>
    <definedName name="lhas_vs_learners_masterlist_jhs" localSheetId="9">'IX. Box 1'!$P$38</definedName>
    <definedName name="lhas_vs_learners_masterlist_shs" localSheetId="9">'IX. Box 1'!$P$52</definedName>
    <definedName name="lhas_vs_learners_screening_es" localSheetId="9">'IX. Box 1'!$T$24</definedName>
    <definedName name="lhas_vs_learners_screening_jhs" localSheetId="9">'IX. Box 1'!$T$38</definedName>
    <definedName name="lhas_vs_learners_screening_shs" localSheetId="9">'IX. Box 1'!$T$52</definedName>
    <definedName name="lhas_vs_lgudoh_es" localSheetId="9">'IX. Box 1'!$AF$24</definedName>
    <definedName name="lhas_vs_lgudoh_jhs" localSheetId="9">'IX. Box 1'!$AF$38</definedName>
    <definedName name="lhas_vs_lgudoh_shs" localSheetId="9">'IX. Box 1'!$AF$52</definedName>
    <definedName name="lhas_vs_others_es" localSheetId="9">'IX. Box 1'!$AN$24</definedName>
    <definedName name="lhas_vs_others_jhs" localSheetId="9">'IX. Box 1'!$AN$38</definedName>
    <definedName name="lhas_vs_others_shs" localSheetId="9">'IX. Box 1'!$AN$52</definedName>
    <definedName name="lhas_vs_private_es" localSheetId="9">'IX. Box 1'!$AJ$24</definedName>
    <definedName name="lhas_vs_private_jhs" localSheetId="9">'IX. Box 1'!$AJ$38</definedName>
    <definedName name="lhas_vs_private_shs" localSheetId="9">'IX. Box 1'!$AJ$52</definedName>
    <definedName name="_xlnm.Print_Area" localSheetId="9">'IX. Boxes 10 &amp; 11'!$A$1:$AD$38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<sst xmlns="http://schemas.openxmlformats.org/spreadsheetml/2006/main" count="523" uniqueCount="314">
  <si>
    <r>
      <rPr>
        <b/>
        <sz val="18"/>
        <color theme="0"/>
        <rFont val="Times New Roman"/>
        <charset val="134"/>
      </rPr>
      <t>GOVERNMENT SCHOOL PROFILE, SY 2025</t>
    </r>
    <r>
      <rPr>
        <b/>
        <sz val="18"/>
        <color theme="0"/>
        <rFont val="Calibri"/>
        <charset val="134"/>
      </rPr>
      <t>–</t>
    </r>
    <r>
      <rPr>
        <b/>
        <sz val="18"/>
        <color theme="0"/>
        <rFont val="Times New Roman"/>
        <charset val="134"/>
      </rPr>
      <t>2026</t>
    </r>
  </si>
  <si>
    <t>School Name - School ID</t>
  </si>
  <si>
    <t>TABLE OF CONTENTS</t>
  </si>
  <si>
    <t>TABLE NUMBER</t>
  </si>
  <si>
    <t>BOX NUMBER</t>
  </si>
  <si>
    <t>TITLE</t>
  </si>
  <si>
    <t>PAGE NUMBER</t>
  </si>
  <si>
    <t>IX. SCHOOL HEALTH AND NUTRITION</t>
  </si>
  <si>
    <t>OPLAN KALUSUGAN SA DepEd (OKD) AND LEARNERS HEALTH ASSESSMENT AND SCREENING (LHAS), SY 2025–2026, as of March 31, 2026</t>
  </si>
  <si>
    <t>HEALTH AND NUTRITION, SY 2025–2026, as of March 31, 2026</t>
  </si>
  <si>
    <t>49–50</t>
  </si>
  <si>
    <t>SCHOOL CLINIC, SY 2025–2026, as of March 31, 2026</t>
  </si>
  <si>
    <t>AVAILABILITY OF WATER SUPPLY, SY 2025–2026, as of March 31, 2026</t>
  </si>
  <si>
    <t>MENTAL HEALTH, SY 2025–2026, as of March 31, 2026</t>
  </si>
  <si>
    <t>SCHOOL MENTAL HEALTH, SY 2025–2026, as of March 31, 2026</t>
  </si>
  <si>
    <t>ADOLESCENT REPRODUCTIVE HEALTH, SY 2025–2026, as of March 31, 2026</t>
  </si>
  <si>
    <t>COMPREHENSIVE TOBACCO CONTROL, SY 2025–2026, as of March 31, 2026</t>
  </si>
  <si>
    <t>NATIONAL PREVENTIVE DRUG EDUCATION, SY 2025–2026, as of March 31, 2026</t>
  </si>
  <si>
    <t>FOOD HANDLING, SY 2025–2026, as of March 31, 2026</t>
  </si>
  <si>
    <t>FEEDING PROGRAM, SY 2025–2026, as of March 31, 2026</t>
  </si>
  <si>
    <t>SOLID WASTE MANAGEMENT, SY 2025–2026, as of March 31, 2026</t>
  </si>
  <si>
    <t>MENSTRUAL HYGIENE, SY 2025–2026, as of March 31, 2026</t>
  </si>
  <si>
    <t>Certified True and Correct by School Head:</t>
  </si>
  <si>
    <t>Validated by Division School Health Coordinator/Medical Officer/Nurse:</t>
  </si>
  <si>
    <t>Signature over Printed Name / Date</t>
  </si>
  <si>
    <t>Position Title:</t>
  </si>
  <si>
    <t>Validated by Planning Officer III (PRS-SGOD):</t>
  </si>
  <si>
    <t>Box 1. OPLAN KALUSUGAN SA DepEd (OKD) AND LEARNERS HEALTH ASSESSMENT AND SCREENING (LHAS)</t>
  </si>
  <si>
    <t>SY 2025–2026, as of March 31, 2026</t>
  </si>
  <si>
    <t>Check and/or provide appropriate answers.</t>
  </si>
  <si>
    <t>1. Does the school have a functional referral mechanism for learners with health concerns? Which of the following concerns have referral mechanisms?</t>
  </si>
  <si>
    <t>Medical, Dental, and Nutritional Concerns</t>
  </si>
  <si>
    <t>Mental Health and Well-being Concerns</t>
  </si>
  <si>
    <t>Adolescent Reproductive Health Concerns</t>
  </si>
  <si>
    <t>Drug/Substance and Tobacco Use Concerns</t>
  </si>
  <si>
    <t>2. Number of Learners who Underwent Learners Health Assessment and Screening (LHAS)</t>
  </si>
  <si>
    <t>LHAS Component</t>
  </si>
  <si>
    <t>Number of Learners Masterlisted</t>
  </si>
  <si>
    <t>Number of Learners Who Underwent Screening</t>
  </si>
  <si>
    <t>Number of Learners Assessed with Findings</t>
  </si>
  <si>
    <t>Number of Learners with Findings Successfully Referred</t>
  </si>
  <si>
    <t>School-based Facilities or Services
(a)</t>
  </si>
  <si>
    <t>LGU/DOH Facilities
(b)</t>
  </si>
  <si>
    <t>Pivate Facilities
(c)</t>
  </si>
  <si>
    <t>Others
(d)</t>
  </si>
  <si>
    <r>
      <rPr>
        <b/>
        <sz val="8"/>
        <color theme="1"/>
        <rFont val="Times New Roman"/>
        <charset val="134"/>
      </rPr>
      <t xml:space="preserve">TOTAL
</t>
    </r>
    <r>
      <rPr>
        <b/>
        <sz val="7"/>
        <color theme="1"/>
        <rFont val="Times New Roman"/>
        <charset val="134"/>
      </rPr>
      <t xml:space="preserve">(a </t>
    </r>
    <r>
      <rPr>
        <b/>
        <sz val="8"/>
        <color theme="1"/>
        <rFont val="Times New Roman"/>
        <charset val="134"/>
      </rPr>
      <t>+</t>
    </r>
    <r>
      <rPr>
        <b/>
        <sz val="7"/>
        <color theme="1"/>
        <rFont val="Times New Roman"/>
        <charset val="134"/>
      </rPr>
      <t xml:space="preserve"> b + c + d)</t>
    </r>
    <r>
      <rPr>
        <b/>
        <sz val="8"/>
        <color theme="1"/>
        <rFont val="Times New Roman"/>
        <charset val="134"/>
      </rPr>
      <t xml:space="preserve">
(e)</t>
    </r>
  </si>
  <si>
    <t>2.a ELEMENTARY</t>
  </si>
  <si>
    <t>Nutritional Assessment</t>
  </si>
  <si>
    <t>Health History Intake and 
General Head to Toe Assessment</t>
  </si>
  <si>
    <t>Vision Screening</t>
  </si>
  <si>
    <t>Hearing Screening</t>
  </si>
  <si>
    <t>Oral Health Assessment</t>
  </si>
  <si>
    <r>
      <rPr>
        <b/>
        <sz val="9"/>
        <color theme="1"/>
        <rFont val="Times New Roman"/>
        <charset val="134"/>
      </rPr>
      <t>C</t>
    </r>
    <r>
      <rPr>
        <sz val="9"/>
        <color theme="1"/>
        <rFont val="Times New Roman"/>
        <charset val="134"/>
      </rPr>
      <t xml:space="preserve">hildren and </t>
    </r>
    <r>
      <rPr>
        <b/>
        <sz val="9"/>
        <color theme="1"/>
        <rFont val="Times New Roman"/>
        <charset val="134"/>
      </rPr>
      <t>A</t>
    </r>
    <r>
      <rPr>
        <sz val="9"/>
        <color theme="1"/>
        <rFont val="Times New Roman"/>
        <charset val="134"/>
      </rPr>
      <t xml:space="preserve">dolescent </t>
    </r>
    <r>
      <rPr>
        <b/>
        <sz val="9"/>
        <color theme="1"/>
        <rFont val="Times New Roman"/>
        <charset val="134"/>
      </rPr>
      <t>R</t>
    </r>
    <r>
      <rPr>
        <sz val="9"/>
        <color theme="1"/>
        <rFont val="Times New Roman"/>
        <charset val="134"/>
      </rPr>
      <t xml:space="preserve">isk </t>
    </r>
    <r>
      <rPr>
        <b/>
        <sz val="9"/>
        <color theme="1"/>
        <rFont val="Times New Roman"/>
        <charset val="134"/>
      </rPr>
      <t>S</t>
    </r>
    <r>
      <rPr>
        <sz val="9"/>
        <color theme="1"/>
        <rFont val="Times New Roman"/>
        <charset val="134"/>
      </rPr>
      <t>creener (CARS)</t>
    </r>
  </si>
  <si>
    <r>
      <rPr>
        <sz val="9"/>
        <color theme="1"/>
        <rFont val="Times New Roman"/>
        <charset val="134"/>
      </rPr>
      <t xml:space="preserve">Rapid </t>
    </r>
    <r>
      <rPr>
        <b/>
        <sz val="9"/>
        <color theme="1"/>
        <rFont val="Times New Roman"/>
        <charset val="134"/>
      </rPr>
      <t>HEEADSSS</t>
    </r>
    <r>
      <rPr>
        <sz val="9"/>
        <color theme="1"/>
        <rFont val="Times New Roman"/>
        <charset val="134"/>
      </rPr>
      <t xml:space="preserve"> (</t>
    </r>
    <r>
      <rPr>
        <b/>
        <sz val="9"/>
        <color theme="1"/>
        <rFont val="Times New Roman"/>
        <charset val="134"/>
      </rPr>
      <t>H</t>
    </r>
    <r>
      <rPr>
        <sz val="9"/>
        <color theme="1"/>
        <rFont val="Times New Roman"/>
        <charset val="134"/>
      </rPr>
      <t xml:space="preserve">ome, </t>
    </r>
    <r>
      <rPr>
        <b/>
        <sz val="9"/>
        <color theme="1"/>
        <rFont val="Times New Roman"/>
        <charset val="134"/>
      </rPr>
      <t>E</t>
    </r>
    <r>
      <rPr>
        <sz val="9"/>
        <color theme="1"/>
        <rFont val="Times New Roman"/>
        <charset val="134"/>
      </rPr>
      <t xml:space="preserve">ducation/Employment, </t>
    </r>
    <r>
      <rPr>
        <b/>
        <sz val="9"/>
        <color theme="1"/>
        <rFont val="Times New Roman"/>
        <charset val="134"/>
      </rPr>
      <t>E</t>
    </r>
    <r>
      <rPr>
        <sz val="9"/>
        <color theme="1"/>
        <rFont val="Times New Roman"/>
        <charset val="134"/>
      </rPr>
      <t xml:space="preserve">ating, </t>
    </r>
    <r>
      <rPr>
        <b/>
        <sz val="9"/>
        <color theme="1"/>
        <rFont val="Times New Roman"/>
        <charset val="134"/>
      </rPr>
      <t>A</t>
    </r>
    <r>
      <rPr>
        <sz val="9"/>
        <color theme="1"/>
        <rFont val="Times New Roman"/>
        <charset val="134"/>
      </rPr>
      <t xml:space="preserve">ctivities, </t>
    </r>
    <r>
      <rPr>
        <b/>
        <sz val="9"/>
        <color theme="1"/>
        <rFont val="Times New Roman"/>
        <charset val="134"/>
      </rPr>
      <t>D</t>
    </r>
    <r>
      <rPr>
        <sz val="9"/>
        <color theme="1"/>
        <rFont val="Times New Roman"/>
        <charset val="134"/>
      </rPr>
      <t xml:space="preserve">rugs, </t>
    </r>
    <r>
      <rPr>
        <b/>
        <sz val="9"/>
        <color theme="1"/>
        <rFont val="Times New Roman"/>
        <charset val="134"/>
      </rPr>
      <t>S</t>
    </r>
    <r>
      <rPr>
        <sz val="9"/>
        <color theme="1"/>
        <rFont val="Times New Roman"/>
        <charset val="134"/>
      </rPr>
      <t xml:space="preserve">exuality, </t>
    </r>
    <r>
      <rPr>
        <b/>
        <sz val="9"/>
        <color theme="1"/>
        <rFont val="Times New Roman"/>
        <charset val="134"/>
      </rPr>
      <t>S</t>
    </r>
    <r>
      <rPr>
        <sz val="9"/>
        <color theme="1"/>
        <rFont val="Times New Roman"/>
        <charset val="134"/>
      </rPr>
      <t xml:space="preserve">uicide/Depression, and </t>
    </r>
    <r>
      <rPr>
        <b/>
        <sz val="9"/>
        <color theme="1"/>
        <rFont val="Times New Roman"/>
        <charset val="134"/>
      </rPr>
      <t>S</t>
    </r>
    <r>
      <rPr>
        <sz val="9"/>
        <color theme="1"/>
        <rFont val="Times New Roman"/>
        <charset val="134"/>
      </rPr>
      <t>afety)</t>
    </r>
  </si>
  <si>
    <t>TOTAL</t>
  </si>
  <si>
    <t>2.b JUNIOR HIGH SCHOOL</t>
  </si>
  <si>
    <t>2.c SENIOR HIGH SCHOOL</t>
  </si>
  <si>
    <r>
      <rPr>
        <b/>
        <i/>
        <sz val="9"/>
        <color theme="1"/>
        <rFont val="Times New Roman"/>
        <charset val="134"/>
      </rPr>
      <t>Note:</t>
    </r>
    <r>
      <rPr>
        <sz val="9"/>
        <color theme="1"/>
        <rFont val="Times New Roman"/>
        <charset val="134"/>
      </rPr>
      <t xml:space="preserve"> </t>
    </r>
    <r>
      <rPr>
        <b/>
        <i/>
        <sz val="9"/>
        <color theme="1"/>
        <rFont val="Times New Roman"/>
        <charset val="134"/>
      </rPr>
      <t xml:space="preserve">Masterlisted </t>
    </r>
    <r>
      <rPr>
        <sz val="9"/>
        <color theme="1"/>
        <rFont val="Times New Roman"/>
        <charset val="134"/>
      </rPr>
      <t xml:space="preserve">refers to the list of learners who have consent provided by parents/parent-substitutes/legal guardians </t>
    </r>
  </si>
  <si>
    <t>to be administered components of LHAS.</t>
  </si>
  <si>
    <t>Reminders:</t>
  </si>
  <si>
    <t>1. Please ensure that per row of LHAS component:</t>
  </si>
  <si>
    <t>-   those who underwent screening is not greater than those masterlisted,</t>
  </si>
  <si>
    <t>-   those with findings is not greater than those who underwent screening, and</t>
  </si>
  <si>
    <t>-   the sum of those referred is not greater than those with findings.</t>
  </si>
  <si>
    <t>2. Universal Mental Health and Psychosocial Screening (CARS and Rapid HEEADSSS) can only be conducted by accredited schools.</t>
  </si>
  <si>
    <t>(See definitions on the next page)</t>
  </si>
  <si>
    <t>Definitions for Box 1</t>
  </si>
  <si>
    <r>
      <rPr>
        <b/>
        <i/>
        <sz val="9"/>
        <color theme="1"/>
        <rFont val="Times New Roman"/>
        <charset val="134"/>
      </rPr>
      <t>Oplan Kalusugan sa DepEd (OKD)</t>
    </r>
    <r>
      <rPr>
        <sz val="9"/>
        <color theme="1"/>
        <rFont val="Times New Roman"/>
        <charset val="134"/>
      </rPr>
      <t xml:space="preserve"> - It is a convergence of all school health and nutrition initiatives to help implement the Healthy Learning Institutions </t>
    </r>
  </si>
  <si>
    <t>framework in DepEd.</t>
  </si>
  <si>
    <r>
      <rPr>
        <b/>
        <i/>
        <sz val="9"/>
        <color theme="1"/>
        <rFont val="Times New Roman"/>
        <charset val="134"/>
      </rPr>
      <t>Learners Health Assessment and Screening (LHAS)</t>
    </r>
    <r>
      <rPr>
        <sz val="9"/>
        <color theme="1"/>
        <rFont val="Times New Roman"/>
        <charset val="134"/>
      </rPr>
      <t xml:space="preserve"> - As part of the OKD-HLI, all learners shall undergo a mandatory learner health assessment </t>
    </r>
  </si>
  <si>
    <t>to be conducted by designated health personnel of the school in coordination with counselors and class advisers.</t>
  </si>
  <si>
    <r>
      <rPr>
        <b/>
        <i/>
        <sz val="9"/>
        <color theme="1"/>
        <rFont val="Times New Roman"/>
        <charset val="134"/>
      </rPr>
      <t xml:space="preserve">Nutritional Assessment </t>
    </r>
    <r>
      <rPr>
        <sz val="9"/>
        <color theme="1"/>
        <rFont val="Times New Roman"/>
        <charset val="134"/>
      </rPr>
      <t xml:space="preserve">- It means determining height and weight of Kinder to Grade 6 learners at the start of the school year to obtain their nutritional </t>
    </r>
  </si>
  <si>
    <t>status, following the World Health Organization (WHO) standards, as basis for inclusion to the School-Based Feeding Program (SBFP).</t>
  </si>
  <si>
    <r>
      <rPr>
        <b/>
        <i/>
        <sz val="9"/>
        <color theme="1"/>
        <rFont val="Times New Roman"/>
        <charset val="134"/>
      </rPr>
      <t>Health History Intake</t>
    </r>
    <r>
      <rPr>
        <i/>
        <sz val="9"/>
        <color theme="1"/>
        <rFont val="Times New Roman"/>
        <charset val="134"/>
      </rPr>
      <t xml:space="preserve"> </t>
    </r>
    <r>
      <rPr>
        <sz val="9"/>
        <color theme="1"/>
        <rFont val="Times New Roman"/>
        <charset val="134"/>
      </rPr>
      <t xml:space="preserve">- It refers to the recording of past medical history (allergies, ongoing medical conditions, past surgeries/hospitalization), </t>
    </r>
  </si>
  <si>
    <t xml:space="preserve">family medical history, smoking/vaping history, handedness, immunization status, and other relevant information and may include targeted history </t>
  </si>
  <si>
    <t>taking if deemed appropriate by the interviewer. This may be elicited by health personnel from the learner or the parent/parent-substitute/legal guardian.</t>
  </si>
  <si>
    <r>
      <rPr>
        <b/>
        <i/>
        <sz val="9"/>
        <color theme="1"/>
        <rFont val="Times New Roman"/>
        <charset val="134"/>
      </rPr>
      <t xml:space="preserve">General head-to-toe assessment </t>
    </r>
    <r>
      <rPr>
        <sz val="9"/>
        <color theme="1"/>
        <rFont val="Times New Roman"/>
        <charset val="134"/>
      </rPr>
      <t xml:space="preserve">- It refers to a thorough examination done once a year for all learners. It is performed by health personnel to detect </t>
    </r>
  </si>
  <si>
    <t xml:space="preserve">signs and symptoms of illness, physical or behavioral defects or abnormality, monitor the hygiene practices of the learners, and provide health </t>
  </si>
  <si>
    <t xml:space="preserve">education to learnersand parents/parent-substitutes/legal guardians in preventing and managing common ailments. This shall include conducting </t>
  </si>
  <si>
    <t>anthropometric measurements, such as the height and weight of a learner and calculating their Body Mass Index (BMI) to determine their overall</t>
  </si>
  <si>
    <t>nutritional status and to identify and address potential nutritional concerns.</t>
  </si>
  <si>
    <r>
      <rPr>
        <b/>
        <i/>
        <sz val="9"/>
        <color theme="1"/>
        <rFont val="Times New Roman"/>
        <charset val="134"/>
      </rPr>
      <t xml:space="preserve">Vision screening or visual acuity screening </t>
    </r>
    <r>
      <rPr>
        <sz val="9"/>
        <color theme="1"/>
        <rFont val="Times New Roman"/>
        <charset val="134"/>
      </rPr>
      <t xml:space="preserve">- It refers to the use of charts, occluders, transparent response key, and other methods aimed at early </t>
    </r>
  </si>
  <si>
    <t xml:space="preserve">detection and management of vision problems among learners. This may be done by teachers (for Kindergarten learners and non-readers) </t>
  </si>
  <si>
    <t>and non-teaching personnel (for other grade levels) who have received appropriate training, school health personnel, or local partners.</t>
  </si>
  <si>
    <r>
      <rPr>
        <b/>
        <i/>
        <sz val="9"/>
        <color theme="1"/>
        <rFont val="Times New Roman"/>
        <charset val="134"/>
      </rPr>
      <t>Hearing screening</t>
    </r>
    <r>
      <rPr>
        <sz val="9"/>
        <color theme="1"/>
        <rFont val="Times New Roman"/>
        <charset val="134"/>
      </rPr>
      <t xml:space="preserve"> - It refers to the use of a 512-Hz tuning fork or a retractable pen by health personnel to identify learners who may require </t>
    </r>
  </si>
  <si>
    <t>comprehensive audiological assessment and further management by appropriate healthcare professionals.</t>
  </si>
  <si>
    <r>
      <rPr>
        <b/>
        <i/>
        <sz val="9"/>
        <color theme="1"/>
        <rFont val="Times New Roman"/>
        <charset val="134"/>
      </rPr>
      <t>Children and Adolescents Risk Screener (CARS)</t>
    </r>
    <r>
      <rPr>
        <sz val="9"/>
        <color theme="1"/>
        <rFont val="Times New Roman"/>
        <charset val="134"/>
      </rPr>
      <t xml:space="preserve"> - It is a locally developed tool that assesses various areas of mental health concerns. The tool shall be </t>
    </r>
  </si>
  <si>
    <t>administered to learners from K to 12 in all qualified schools, only by personnel who have received proper training.</t>
  </si>
  <si>
    <r>
      <rPr>
        <b/>
        <i/>
        <sz val="9"/>
        <color theme="1"/>
        <rFont val="Times New Roman"/>
        <charset val="134"/>
      </rPr>
      <t>Rapid HEEADSSS (Home, Education/Employment, Eating, Activities, Drugs, Sexuality, Suicide/Depression, and Safety)</t>
    </r>
    <r>
      <rPr>
        <sz val="9"/>
        <color theme="1"/>
        <rFont val="Times New Roman"/>
        <charset val="134"/>
      </rPr>
      <t xml:space="preserve"> - It is a self-administered </t>
    </r>
  </si>
  <si>
    <t>questionnaire recommended for adolescents aged 10-19. Administered by homeroom advisers or any personnel with relevant training.</t>
  </si>
  <si>
    <r>
      <rPr>
        <b/>
        <i/>
        <sz val="9"/>
        <color theme="1"/>
        <rFont val="Times New Roman"/>
        <charset val="134"/>
      </rPr>
      <t>Note:</t>
    </r>
    <r>
      <rPr>
        <sz val="9"/>
        <color theme="1"/>
        <rFont val="Times New Roman"/>
        <charset val="134"/>
      </rPr>
      <t xml:space="preserve"> Definitions are based on </t>
    </r>
    <r>
      <rPr>
        <b/>
        <i/>
        <u/>
        <sz val="9"/>
        <color theme="1"/>
        <rFont val="Times New Roman"/>
        <charset val="134"/>
      </rPr>
      <t>DepEd Memorandum No. 050, s. 2025 on Learners’ Health Assessment and Screening (LHAS)</t>
    </r>
    <r>
      <rPr>
        <b/>
        <i/>
        <sz val="9"/>
        <color theme="1"/>
        <rFont val="Times New Roman"/>
        <charset val="134"/>
      </rPr>
      <t xml:space="preserve"> </t>
    </r>
    <r>
      <rPr>
        <sz val="9"/>
        <color theme="1"/>
        <rFont val="Times New Roman"/>
        <charset val="134"/>
      </rPr>
      <t xml:space="preserve">and on the policy </t>
    </r>
  </si>
  <si>
    <r>
      <rPr>
        <sz val="9"/>
        <color theme="1"/>
        <rFont val="Times New Roman"/>
        <charset val="134"/>
      </rPr>
      <t xml:space="preserve">guidelinesof </t>
    </r>
    <r>
      <rPr>
        <b/>
        <i/>
        <u/>
        <sz val="9"/>
        <color theme="1"/>
        <rFont val="Times New Roman"/>
        <charset val="134"/>
      </rPr>
      <t>Oplan Kalusugansa DepEd (OKD) under DepEd Order No. 028, s. 2018</t>
    </r>
    <r>
      <rPr>
        <sz val="9"/>
        <color theme="1"/>
        <rFont val="Times New Roman"/>
        <charset val="134"/>
      </rPr>
      <t>. These documents may be accessed through the official</t>
    </r>
  </si>
  <si>
    <t>DepEd website.</t>
  </si>
  <si>
    <t>Table 1. HEALTH AND NUTRITION</t>
  </si>
  <si>
    <t>Provide appropriate answers.</t>
  </si>
  <si>
    <t>A. Number of learners who were vaccinated through the School-Based Immunization (SBI) Program</t>
  </si>
  <si>
    <t>TYPES OF VACCINE</t>
  </si>
  <si>
    <t>ELEMENTARY</t>
  </si>
  <si>
    <t>JUNIOR HIGH SCHOOL</t>
  </si>
  <si>
    <t>Grade 1</t>
  </si>
  <si>
    <t>Grade 4</t>
  </si>
  <si>
    <t>Grade 7</t>
  </si>
  <si>
    <t>TOTAL Learners
(IP &amp; Non-IP)</t>
  </si>
  <si>
    <t>IP
Learners</t>
  </si>
  <si>
    <t>TOTAL Learners</t>
  </si>
  <si>
    <t>IP 
Learners</t>
  </si>
  <si>
    <t>Male</t>
  </si>
  <si>
    <t>Female</t>
  </si>
  <si>
    <t>Measles Rubella</t>
  </si>
  <si>
    <t>Tetanus Diphtheria</t>
  </si>
  <si>
    <t>Human Papilloma Virus</t>
  </si>
  <si>
    <t>B. Number of learners by nutritional status</t>
  </si>
  <si>
    <t>NUTRITIONAL STATUS</t>
  </si>
  <si>
    <t>Kindergarten</t>
  </si>
  <si>
    <t>Grade 2</t>
  </si>
  <si>
    <t>Grade 3</t>
  </si>
  <si>
    <t>Grade 5</t>
  </si>
  <si>
    <t>Grade 6</t>
  </si>
  <si>
    <t>SNEd 
(Non-graded)</t>
  </si>
  <si>
    <t>Weight</t>
  </si>
  <si>
    <t xml:space="preserve">   Normal</t>
  </si>
  <si>
    <t xml:space="preserve">   Obese</t>
  </si>
  <si>
    <t xml:space="preserve">   Overweight</t>
  </si>
  <si>
    <t xml:space="preserve">   Severely Wasted</t>
  </si>
  <si>
    <t xml:space="preserve">   Wasted</t>
  </si>
  <si>
    <t>SENIOR HIGH SCHOOL</t>
  </si>
  <si>
    <t>Grade 8</t>
  </si>
  <si>
    <t>Grade 9</t>
  </si>
  <si>
    <t>Grade 10</t>
  </si>
  <si>
    <t>Grade 11</t>
  </si>
  <si>
    <t>Grade 12</t>
  </si>
  <si>
    <t>Learners Nutritional Status in Weight:</t>
  </si>
  <si>
    <r>
      <rPr>
        <sz val="9"/>
        <color theme="1"/>
        <rFont val="Times New Roman"/>
        <charset val="134"/>
      </rPr>
      <t xml:space="preserve">1. </t>
    </r>
    <r>
      <rPr>
        <b/>
        <i/>
        <sz val="9"/>
        <color theme="1"/>
        <rFont val="Times New Roman"/>
        <charset val="134"/>
      </rPr>
      <t xml:space="preserve">Normal </t>
    </r>
    <r>
      <rPr>
        <sz val="9"/>
        <color theme="1"/>
        <rFont val="Times New Roman"/>
        <charset val="134"/>
      </rPr>
      <t xml:space="preserve">- It refers to a learner with normal weight for his/her age whose BMI-for-age fall between -2 to +2 </t>
    </r>
    <r>
      <rPr>
        <i/>
        <sz val="9"/>
        <color theme="1"/>
        <rFont val="Times New Roman"/>
        <charset val="134"/>
      </rPr>
      <t>z</t>
    </r>
    <r>
      <rPr>
        <sz val="9"/>
        <color theme="1"/>
        <rFont val="Times New Roman"/>
        <charset val="134"/>
      </rPr>
      <t>-score line or standard deviation (SD).</t>
    </r>
  </si>
  <si>
    <r>
      <rPr>
        <sz val="9"/>
        <color theme="1"/>
        <rFont val="Times New Roman"/>
        <charset val="134"/>
      </rPr>
      <t xml:space="preserve">2. </t>
    </r>
    <r>
      <rPr>
        <b/>
        <i/>
        <sz val="9"/>
        <color theme="1"/>
        <rFont val="Times New Roman"/>
        <charset val="134"/>
      </rPr>
      <t xml:space="preserve">Obese </t>
    </r>
    <r>
      <rPr>
        <sz val="9"/>
        <color theme="1"/>
        <rFont val="Times New Roman"/>
        <charset val="134"/>
      </rPr>
      <t xml:space="preserve">- It refers to a learner who is severely overweight for his/her height and whose BMI-for-age fall beyond +3 </t>
    </r>
    <r>
      <rPr>
        <i/>
        <sz val="9"/>
        <color theme="1"/>
        <rFont val="Times New Roman"/>
        <charset val="134"/>
      </rPr>
      <t>z</t>
    </r>
    <r>
      <rPr>
        <sz val="9"/>
        <color theme="1"/>
        <rFont val="Times New Roman"/>
        <charset val="134"/>
      </rPr>
      <t>-score line or standard deviation (SD).</t>
    </r>
  </si>
  <si>
    <r>
      <rPr>
        <sz val="9"/>
        <color theme="1"/>
        <rFont val="Times New Roman"/>
        <charset val="134"/>
      </rPr>
      <t xml:space="preserve">3. </t>
    </r>
    <r>
      <rPr>
        <b/>
        <i/>
        <sz val="9"/>
        <color theme="1"/>
        <rFont val="Times New Roman"/>
        <charset val="134"/>
      </rPr>
      <t xml:space="preserve">Overweight </t>
    </r>
    <r>
      <rPr>
        <sz val="9"/>
        <color theme="1"/>
        <rFont val="Times New Roman"/>
        <charset val="134"/>
      </rPr>
      <t xml:space="preserve">- It refers to a learner weighing too much for his/her height and whose BMI-for-age fall between +2 to +3 </t>
    </r>
    <r>
      <rPr>
        <i/>
        <sz val="9"/>
        <color theme="1"/>
        <rFont val="Times New Roman"/>
        <charset val="134"/>
      </rPr>
      <t>z</t>
    </r>
    <r>
      <rPr>
        <sz val="9"/>
        <color theme="1"/>
        <rFont val="Times New Roman"/>
        <charset val="134"/>
      </rPr>
      <t>-score line or standard deviation (SD).</t>
    </r>
  </si>
  <si>
    <r>
      <rPr>
        <sz val="9"/>
        <color theme="1"/>
        <rFont val="Times New Roman"/>
        <charset val="134"/>
      </rPr>
      <t xml:space="preserve">4. </t>
    </r>
    <r>
      <rPr>
        <b/>
        <i/>
        <sz val="9"/>
        <color theme="1"/>
        <rFont val="Times New Roman"/>
        <charset val="134"/>
      </rPr>
      <t xml:space="preserve">Severely Wasted </t>
    </r>
    <r>
      <rPr>
        <sz val="9"/>
        <color theme="1"/>
        <rFont val="Times New Roman"/>
        <charset val="134"/>
      </rPr>
      <t xml:space="preserve">- It refers to a very thin learner whose BMI-for-age  is below -3 </t>
    </r>
    <r>
      <rPr>
        <i/>
        <sz val="9"/>
        <color theme="1"/>
        <rFont val="Times New Roman"/>
        <charset val="134"/>
      </rPr>
      <t>z</t>
    </r>
    <r>
      <rPr>
        <sz val="9"/>
        <color theme="1"/>
        <rFont val="Times New Roman"/>
        <charset val="134"/>
      </rPr>
      <t>-score line or standard deviation (SD).</t>
    </r>
  </si>
  <si>
    <r>
      <rPr>
        <sz val="9"/>
        <color theme="1"/>
        <rFont val="Times New Roman"/>
        <charset val="134"/>
      </rPr>
      <t xml:space="preserve">5. </t>
    </r>
    <r>
      <rPr>
        <b/>
        <i/>
        <sz val="9"/>
        <color theme="1"/>
        <rFont val="Times New Roman"/>
        <charset val="134"/>
      </rPr>
      <t xml:space="preserve">Wasted </t>
    </r>
    <r>
      <rPr>
        <sz val="9"/>
        <color theme="1"/>
        <rFont val="Times New Roman"/>
        <charset val="134"/>
      </rPr>
      <t xml:space="preserve">- It refers to a thin learner whose BMI-for-age fall between -2 to -3 </t>
    </r>
    <r>
      <rPr>
        <i/>
        <sz val="9"/>
        <color theme="1"/>
        <rFont val="Times New Roman"/>
        <charset val="134"/>
      </rPr>
      <t>z</t>
    </r>
    <r>
      <rPr>
        <sz val="9"/>
        <color theme="1"/>
        <rFont val="Times New Roman"/>
        <charset val="134"/>
      </rPr>
      <t>-score line or standard deviation (SD).</t>
    </r>
  </si>
  <si>
    <t>Reminder: Entries on IP learners in Item A shall not exceed the total learners (IP &amp; Non-IP) of the same grade and sex.</t>
  </si>
  <si>
    <t>C. Number of learners who were dewormed (based on LGU health records)</t>
  </si>
  <si>
    <t>GRADE LEVEL</t>
  </si>
  <si>
    <t>NUMBER OF LEARNERS WHO WERE DEWORMED</t>
  </si>
  <si>
    <t>through School-Based Feeding Program</t>
  </si>
  <si>
    <t>through other means</t>
  </si>
  <si>
    <t>SNEd (Non-graded)</t>
  </si>
  <si>
    <r>
      <rPr>
        <sz val="9"/>
        <color theme="1"/>
        <rFont val="Times New Roman"/>
        <charset val="134"/>
      </rPr>
      <t xml:space="preserve">D. Number of female learners who received Weekly Iron Folic Acid (WIFA) Supplementation </t>
    </r>
    <r>
      <rPr>
        <b/>
        <sz val="9"/>
        <color theme="1"/>
        <rFont val="Times New Roman"/>
        <charset val="134"/>
      </rPr>
      <t>for the PREVIOUS SY 2024</t>
    </r>
    <r>
      <rPr>
        <b/>
        <sz val="9"/>
        <color theme="1"/>
        <rFont val="Calibri"/>
        <charset val="134"/>
      </rPr>
      <t>–</t>
    </r>
    <r>
      <rPr>
        <b/>
        <sz val="9"/>
        <color theme="1"/>
        <rFont val="Times New Roman"/>
        <charset val="134"/>
      </rPr>
      <t>2025</t>
    </r>
  </si>
  <si>
    <t>DETAILS</t>
  </si>
  <si>
    <t>Number of female learners given WIFA supplements from July to September 2024</t>
  </si>
  <si>
    <t>Number of female learners given WIFA supplements from January to March 2025</t>
  </si>
  <si>
    <t>Box 2. SCHOOL CLINIC</t>
  </si>
  <si>
    <t>1. Does the school have a designated school clinic?</t>
  </si>
  <si>
    <t>Yes</t>
  </si>
  <si>
    <t xml:space="preserve">2. Was the school visited by SDO Health Personnel during the school year? </t>
  </si>
  <si>
    <t>2.a. If YES, how many times?</t>
  </si>
  <si>
    <t>3. Does the clinic have the following essential infrastructure/equipment/materials?</t>
  </si>
  <si>
    <t>Functional</t>
  </si>
  <si>
    <t>Non-functional</t>
  </si>
  <si>
    <t>a.</t>
  </si>
  <si>
    <t>Bathroom</t>
  </si>
  <si>
    <t>b.</t>
  </si>
  <si>
    <t>Hospital/Clinic Bed</t>
  </si>
  <si>
    <t>c.</t>
  </si>
  <si>
    <t>Dental Chair</t>
  </si>
  <si>
    <t>d.</t>
  </si>
  <si>
    <t>First Aid Kit</t>
  </si>
  <si>
    <t>e.</t>
  </si>
  <si>
    <t>Tool for taking height (e.g., Height Board)</t>
  </si>
  <si>
    <t>f.</t>
  </si>
  <si>
    <t>Tool for taking weight (e.g., weighing scale)</t>
  </si>
  <si>
    <t>g.</t>
  </si>
  <si>
    <t>Autoclave or sterilizer</t>
  </si>
  <si>
    <t>h.</t>
  </si>
  <si>
    <t>BP Apparatus</t>
  </si>
  <si>
    <t>i.</t>
  </si>
  <si>
    <t>Nebulizer</t>
  </si>
  <si>
    <t>Box 3. AVAILABILITY OF WATER SUPPLY</t>
  </si>
  <si>
    <t xml:space="preserve"> 1. What are the school's water supply source/s?    </t>
  </si>
  <si>
    <t>Piped water from local service provider</t>
  </si>
  <si>
    <t>Water Well</t>
  </si>
  <si>
    <t>Rainwater Catchment</t>
  </si>
  <si>
    <t>Natural Source</t>
  </si>
  <si>
    <t xml:space="preserve">2.  Is the water source inside the school ground being used for drinking?  </t>
  </si>
  <si>
    <r>
      <rPr>
        <b/>
        <i/>
        <sz val="9"/>
        <color theme="1"/>
        <rFont val="Times New Roman"/>
        <charset val="134"/>
      </rPr>
      <t>Local piped water</t>
    </r>
    <r>
      <rPr>
        <sz val="9"/>
        <color theme="1"/>
        <rFont val="Times New Roman"/>
        <charset val="134"/>
      </rPr>
      <t xml:space="preserve"> - It is a water source coming from local water service providers.</t>
    </r>
  </si>
  <si>
    <r>
      <rPr>
        <b/>
        <i/>
        <sz val="9"/>
        <color theme="1"/>
        <rFont val="Times New Roman"/>
        <charset val="134"/>
      </rPr>
      <t>Water well</t>
    </r>
    <r>
      <rPr>
        <sz val="9"/>
        <color theme="1"/>
        <rFont val="Times New Roman"/>
        <charset val="134"/>
      </rPr>
      <t xml:space="preserve"> - It is an excavation structure in the ground by digging, driving, boring or drilling to access water in underground aquifiers.</t>
    </r>
  </si>
  <si>
    <r>
      <rPr>
        <b/>
        <i/>
        <sz val="9"/>
        <color theme="1"/>
        <rFont val="Times New Roman"/>
        <charset val="134"/>
      </rPr>
      <t>Rainwater catchment</t>
    </r>
    <r>
      <rPr>
        <sz val="9"/>
        <color theme="1"/>
        <rFont val="Times New Roman"/>
        <charset val="134"/>
      </rPr>
      <t xml:space="preserve"> - It is water sourced from rainwater and collected thru a rainwater collector.</t>
    </r>
  </si>
  <si>
    <r>
      <rPr>
        <b/>
        <i/>
        <sz val="9"/>
        <color theme="1"/>
        <rFont val="Times New Roman"/>
        <charset val="134"/>
      </rPr>
      <t>Natural source</t>
    </r>
    <r>
      <rPr>
        <sz val="9"/>
        <color theme="1"/>
        <rFont val="Times New Roman"/>
        <charset val="134"/>
      </rPr>
      <t xml:space="preserve"> - It is water sourced from a spring or stream that is either located inside the school grounds or located outside school grounds </t>
    </r>
  </si>
  <si>
    <t>but water is supplied via pipes.</t>
  </si>
  <si>
    <t>Table 2. MENTAL HEALTH</t>
  </si>
  <si>
    <t>Provide the number of cases of suicide and attempted suicide among learners and school personnel that were recorded by the school.</t>
  </si>
  <si>
    <t>CASES</t>
  </si>
  <si>
    <t>NUMBER OF CASES WITHIN THE SCHOOL YEAR</t>
  </si>
  <si>
    <t>Elementary</t>
  </si>
  <si>
    <t>Junior High School</t>
  </si>
  <si>
    <t>Senior High School</t>
  </si>
  <si>
    <t>Among Learners</t>
  </si>
  <si>
    <t>Among School Personnel</t>
  </si>
  <si>
    <r>
      <rPr>
        <sz val="8"/>
        <color theme="1"/>
        <rFont val="Times New Roman"/>
        <charset val="134"/>
      </rPr>
      <t xml:space="preserve">Deaths by suicide </t>
    </r>
    <r>
      <rPr>
        <b/>
        <i/>
        <u/>
        <sz val="8"/>
        <color theme="1"/>
        <rFont val="Times New Roman"/>
        <charset val="134"/>
      </rPr>
      <t>within</t>
    </r>
    <r>
      <rPr>
        <sz val="8"/>
        <color theme="1"/>
        <rFont val="Times New Roman"/>
        <charset val="134"/>
      </rPr>
      <t xml:space="preserve"> the School</t>
    </r>
  </si>
  <si>
    <r>
      <rPr>
        <sz val="8"/>
        <color theme="1"/>
        <rFont val="Times New Roman"/>
        <charset val="134"/>
      </rPr>
      <t xml:space="preserve">Deaths by suicide </t>
    </r>
    <r>
      <rPr>
        <b/>
        <i/>
        <u/>
        <sz val="8"/>
        <color theme="1"/>
        <rFont val="Times New Roman"/>
        <charset val="134"/>
      </rPr>
      <t>outside</t>
    </r>
    <r>
      <rPr>
        <sz val="8"/>
        <color theme="1"/>
        <rFont val="Times New Roman"/>
        <charset val="134"/>
      </rPr>
      <t xml:space="preserve"> the School</t>
    </r>
  </si>
  <si>
    <r>
      <rPr>
        <sz val="8"/>
        <color theme="1"/>
        <rFont val="Times New Roman"/>
        <charset val="134"/>
      </rPr>
      <t xml:space="preserve">Attempted Suicide </t>
    </r>
    <r>
      <rPr>
        <b/>
        <i/>
        <u/>
        <sz val="8"/>
        <color theme="1"/>
        <rFont val="Times New Roman"/>
        <charset val="134"/>
      </rPr>
      <t>within</t>
    </r>
    <r>
      <rPr>
        <sz val="8"/>
        <color theme="1"/>
        <rFont val="Times New Roman"/>
        <charset val="134"/>
      </rPr>
      <t xml:space="preserve"> the School</t>
    </r>
  </si>
  <si>
    <r>
      <rPr>
        <sz val="8"/>
        <color theme="1"/>
        <rFont val="Times New Roman"/>
        <charset val="134"/>
      </rPr>
      <t xml:space="preserve">Attempted Suicide </t>
    </r>
    <r>
      <rPr>
        <b/>
        <i/>
        <u/>
        <sz val="8"/>
        <color theme="1"/>
        <rFont val="Times New Roman"/>
        <charset val="134"/>
      </rPr>
      <t>outside</t>
    </r>
    <r>
      <rPr>
        <sz val="8"/>
        <color theme="1"/>
        <rFont val="Times New Roman"/>
        <charset val="134"/>
      </rPr>
      <t xml:space="preserve"> the School</t>
    </r>
  </si>
  <si>
    <r>
      <rPr>
        <b/>
        <i/>
        <sz val="9"/>
        <color theme="1"/>
        <rFont val="Times New Roman"/>
        <charset val="134"/>
      </rPr>
      <t xml:space="preserve">Note: </t>
    </r>
    <r>
      <rPr>
        <sz val="9"/>
        <color theme="1"/>
        <rFont val="Times New Roman"/>
        <charset val="134"/>
      </rPr>
      <t xml:space="preserve">Cases related to suicide can only be defined and confirmed through a process of collaboration, investigation, and validation </t>
    </r>
  </si>
  <si>
    <t xml:space="preserve">with relevant professionals including authorities, medical officers, and/or guidance couselors, or mental health coordinators </t>
  </si>
  <si>
    <t xml:space="preserve">or social worker involved in the case of the learners. Only cases with proper documentation can only be reported as cases of suicide. </t>
  </si>
  <si>
    <r>
      <rPr>
        <sz val="9"/>
        <color theme="1"/>
        <rFont val="Times New Roman"/>
        <charset val="134"/>
      </rPr>
      <t xml:space="preserve">Please refer to Annex A, Section III of </t>
    </r>
    <r>
      <rPr>
        <b/>
        <i/>
        <u/>
        <sz val="9"/>
        <color theme="1"/>
        <rFont val="Times New Roman"/>
        <charset val="134"/>
      </rPr>
      <t>OUOPS No. 2023-06-7518</t>
    </r>
    <r>
      <rPr>
        <sz val="9"/>
        <color theme="1"/>
        <rFont val="Times New Roman"/>
        <charset val="134"/>
      </rPr>
      <t xml:space="preserve"> for interim guidelines on validation of data </t>
    </r>
  </si>
  <si>
    <t>regarding suicide incident reporting.</t>
  </si>
  <si>
    <t>Box 4. SCHOOL MENTAL HEALTH</t>
  </si>
  <si>
    <t>1. Does the school have a guidance office or care center?</t>
  </si>
  <si>
    <t>2. Number of learners who sought guidance counseling or life coaching from the school’s guidance counselor or guidance advocate</t>
  </si>
  <si>
    <t>LEVEL OF EDUCATION</t>
  </si>
  <si>
    <t>NUMBER OF LEARNERS</t>
  </si>
  <si>
    <r>
      <rPr>
        <sz val="9"/>
        <color theme="1"/>
        <rFont val="Times New Roman"/>
        <charset val="134"/>
      </rPr>
      <t xml:space="preserve">2.a Among those who sought guidance counseling or life coaching (above), indicate the </t>
    </r>
    <r>
      <rPr>
        <b/>
        <sz val="9"/>
        <color theme="1"/>
        <rFont val="Times New Roman"/>
        <charset val="134"/>
      </rPr>
      <t>number of learners that come from vulnerable groups.</t>
    </r>
  </si>
  <si>
    <t>Muslim</t>
  </si>
  <si>
    <t>IP</t>
  </si>
  <si>
    <t>Learners with Disabilities</t>
  </si>
  <si>
    <t xml:space="preserve"> </t>
  </si>
  <si>
    <r>
      <rPr>
        <sz val="9"/>
        <color theme="1"/>
        <rFont val="Times New Roman"/>
        <charset val="134"/>
      </rPr>
      <t xml:space="preserve">3. Did the school conduct trainings or extra-curricular activities for </t>
    </r>
    <r>
      <rPr>
        <b/>
        <i/>
        <sz val="9"/>
        <color theme="1"/>
        <rFont val="Times New Roman"/>
        <charset val="134"/>
      </rPr>
      <t xml:space="preserve">teachers </t>
    </r>
    <r>
      <rPr>
        <sz val="9"/>
        <color theme="1"/>
        <rFont val="Times New Roman"/>
        <charset val="134"/>
      </rPr>
      <t>related to any of the topics below?</t>
    </r>
  </si>
  <si>
    <t>Number of teachers who participated in the activities that covered each of the following topics</t>
  </si>
  <si>
    <t>TOPICS</t>
  </si>
  <si>
    <t>Addressing the problem of bullying</t>
  </si>
  <si>
    <t>Mental Health and Psychosocial issues and Conditions, including Depression</t>
  </si>
  <si>
    <t>Suicide Prevention</t>
  </si>
  <si>
    <t>Self-Care</t>
  </si>
  <si>
    <t>Psychological First Aid</t>
  </si>
  <si>
    <t>Mental Health Crisis Response Management</t>
  </si>
  <si>
    <t xml:space="preserve">Reminders: </t>
  </si>
  <si>
    <t>1. A learner can be counted more than once if he/she is either a Muslim Learner, an IP Learner, or a Learner with Disability at the same time.</t>
  </si>
  <si>
    <t>2. Entries in the number of learners from each vulnerable groups in Item 2.a shall not exceed the total number of learners by level of education in Item 2.</t>
  </si>
  <si>
    <t>Box 5. ADOLESCENT REPRODUCTIVE HEALTH</t>
  </si>
  <si>
    <t>1. Number of Pregnant Learners</t>
  </si>
  <si>
    <t>In School</t>
  </si>
  <si>
    <t>On Alternative Delivery Mode (ADM)</t>
  </si>
  <si>
    <t>2. Does the school have a functional learner support center?</t>
  </si>
  <si>
    <t xml:space="preserve">3. How many learners were trained as peer educators for Adolescent Sexual and Reproductive Health (ASRH)? </t>
  </si>
  <si>
    <r>
      <rPr>
        <b/>
        <i/>
        <sz val="9"/>
        <color theme="1"/>
        <rFont val="Times New Roman"/>
        <charset val="134"/>
      </rPr>
      <t>Adolescent Reproductive Health (ARH) Program</t>
    </r>
    <r>
      <rPr>
        <sz val="9"/>
        <color theme="1"/>
        <rFont val="Times New Roman"/>
        <charset val="134"/>
      </rPr>
      <t xml:space="preserve"> strengthens the delivery of DepEd’s mandate under Republic Act 10354 through (1) Promotion,  (2) Learner support centers, </t>
    </r>
  </si>
  <si>
    <t>(3) Peer navigation, (4) Service delivery, and (5) Referral systems.</t>
  </si>
  <si>
    <t>Box 6. COMPREHENSIVE TOBACCO CONTROL</t>
  </si>
  <si>
    <t>1. Does the school display the following IEC materials? If Yes, check all applicable.</t>
  </si>
  <si>
    <t>1.a. "No Smoking" Signages (EO 26, s.2017, DO 48, s.2016)</t>
  </si>
  <si>
    <t>1.b. Poster at the school gate about prohibition of selling of cigarettes within 100 meters from the perimeter of the school (EO 26, s.2017)</t>
  </si>
  <si>
    <t>2. Is there at least one store or shop with in 100 meters from any point of the perimeter of the school that sells? If Yes, check all applicable.</t>
  </si>
  <si>
    <t>2.a Tobacco products (e.g., cigarettes)</t>
  </si>
  <si>
    <t>2.b Vape or e-cigatrettes</t>
  </si>
  <si>
    <t>3. How many learners were recorded by the school to have brought in tobacco products and/or vape or e-cigarettes to the school?</t>
  </si>
  <si>
    <t xml:space="preserve">    How many were referred to care?</t>
  </si>
  <si>
    <t>Brought tobacco products and/or vape 
or e-cigarettes</t>
  </si>
  <si>
    <t>Referred to care</t>
  </si>
  <si>
    <t xml:space="preserve">4. How many learners were recorded by the school to have smoked tobacco and/or used ENDS/ENNDS?  </t>
  </si>
  <si>
    <t xml:space="preserve">    How many have been provided with Brief Tobacco Intervention (BTI)?</t>
  </si>
  <si>
    <t>Tobacco User and/or ENDS/ENNDS User</t>
  </si>
  <si>
    <t>Provided with BTI</t>
  </si>
  <si>
    <r>
      <rPr>
        <b/>
        <i/>
        <sz val="9"/>
        <color theme="1"/>
        <rFont val="Times New Roman"/>
        <charset val="134"/>
      </rPr>
      <t>ENDS/ENNDS</t>
    </r>
    <r>
      <rPr>
        <sz val="9"/>
        <color theme="1"/>
        <rFont val="Times New Roman"/>
        <charset val="134"/>
      </rPr>
      <t xml:space="preserve"> stands for Electronic Nicotine Delivery Systems and Electronic Non-Nicotine Delivery Systems, which include vape and e-cigarettes.</t>
    </r>
  </si>
  <si>
    <t>Box 7. NATIONAL PREVENTIVE DRUG EDUCATION</t>
  </si>
  <si>
    <t>1. Does the school implement a preventive drug education program?</t>
  </si>
  <si>
    <t>2. Which of the following components are part of the school's preventive drug education program?</t>
  </si>
  <si>
    <t>2.a Curriculum integration</t>
  </si>
  <si>
    <t>2.b Extra-curricular activities</t>
  </si>
  <si>
    <t>2.c Partnership with the Barangay Anti-Drug Abuse Council</t>
  </si>
  <si>
    <t>3. In the previous school year, how many learners were trained on life skills in relation to drug prevention?</t>
  </si>
  <si>
    <t>Box 8. FOOD HANDLING</t>
  </si>
  <si>
    <t>1. Does the school have a canteen? If Yes,</t>
  </si>
  <si>
    <t>1.a Managed by:</t>
  </si>
  <si>
    <t>1.a.1 School</t>
  </si>
  <si>
    <t>1.a.2 Teacher-Coop</t>
  </si>
  <si>
    <t>1.a.3 Others (Specify):</t>
  </si>
  <si>
    <t>1.b Sanitary Permit</t>
  </si>
  <si>
    <t>1.c Do canteen personnel/food handlers have health certificates?</t>
  </si>
  <si>
    <t>2. Does the school have a kitchen?</t>
  </si>
  <si>
    <t>Box 9. FEEDING PROGRAM</t>
  </si>
  <si>
    <t>Check all applicable answers.</t>
  </si>
  <si>
    <t>1. If the school has a feeding program, what are the sources of funding for that program?</t>
  </si>
  <si>
    <t>1.a School MOOE</t>
  </si>
  <si>
    <t>1.b School Canteen Fund</t>
  </si>
  <si>
    <t>1.c LGU Fund</t>
  </si>
  <si>
    <t>1.d PTA Fund</t>
  </si>
  <si>
    <t>1.e Barangay Fund</t>
  </si>
  <si>
    <t>1.f Private Individual/Sector Fund</t>
  </si>
  <si>
    <t>1.g School-Based Feeding Program (SBFP)</t>
  </si>
  <si>
    <t>2. Availability of agriculture and fishery resources in the school:</t>
  </si>
  <si>
    <t>2.a Gulayan sa Paaralan</t>
  </si>
  <si>
    <t>2.b Fish Pond</t>
  </si>
  <si>
    <t>2.c Agricultural Crops</t>
  </si>
  <si>
    <t>2.d Livestock</t>
  </si>
  <si>
    <r>
      <rPr>
        <b/>
        <i/>
        <sz val="9"/>
        <color theme="1"/>
        <rFont val="Times New Roman"/>
        <charset val="134"/>
      </rPr>
      <t>School-Based Feeding Program (SBFP)</t>
    </r>
    <r>
      <rPr>
        <sz val="9"/>
        <color theme="1"/>
        <rFont val="Times New Roman"/>
        <charset val="134"/>
      </rPr>
      <t xml:space="preserve"> - It is a nationwide initiative, aimed at addressing undernutrition among </t>
    </r>
  </si>
  <si>
    <t xml:space="preserve">public school learners by providing nutritious meals to improve their nutritional status, encourage school attendance, </t>
  </si>
  <si>
    <t>and enhance classroom participation.</t>
  </si>
  <si>
    <r>
      <rPr>
        <b/>
        <i/>
        <sz val="9"/>
        <color theme="1"/>
        <rFont val="Times New Roman"/>
        <charset val="134"/>
      </rPr>
      <t>Gulayan sa Paaralan Program</t>
    </r>
    <r>
      <rPr>
        <i/>
        <sz val="9"/>
        <color theme="1"/>
        <rFont val="Times New Roman"/>
        <charset val="134"/>
      </rPr>
      <t xml:space="preserve"> </t>
    </r>
    <r>
      <rPr>
        <sz val="9"/>
        <color theme="1"/>
        <rFont val="Times New Roman"/>
        <charset val="134"/>
      </rPr>
      <t xml:space="preserve">- It promotes food security, improved learner nutrition, and sustainable agriculture </t>
    </r>
  </si>
  <si>
    <t xml:space="preserve">by ensuring continuous production of nutrient-rich vegetables in schools. GPP supports the School-Based Feeding Program </t>
  </si>
  <si>
    <t xml:space="preserve">and serves as a hands-on platformfor nutrition, agriculture, and values education. It is implemented year-round </t>
  </si>
  <si>
    <t>in all public elementary and secondary schools, with private schools encouraged to join, and is integrated into</t>
  </si>
  <si>
    <t>the EPP/TLE curriculum to sustain garden operations through active participation of teachers, learners, and the community.</t>
  </si>
  <si>
    <t>Box 10. SOLID WASTE MANAGEMENT</t>
  </si>
  <si>
    <t xml:space="preserve">1. If the school is compliant with the Ecological Solid Waste Management Act (RA 9003), </t>
  </si>
  <si>
    <t>how is the school implementing solid waste management?</t>
  </si>
  <si>
    <t>1.a Composting</t>
  </si>
  <si>
    <t>1.b Designation of trash collection point</t>
  </si>
  <si>
    <t>1.c Poster making and/or slogan making contest</t>
  </si>
  <si>
    <t>1.d Posting of signage</t>
  </si>
  <si>
    <t>1.e Recycling Projects</t>
  </si>
  <si>
    <t>1.f School representative at the Barangay Solid Waste Management Committee</t>
  </si>
  <si>
    <t>1.g Use of paper plates/cups instead of plastic</t>
  </si>
  <si>
    <t>1.h Use of recycled materials are teaching tool</t>
  </si>
  <si>
    <t>1.i Use of reusable food containerts</t>
  </si>
  <si>
    <t>1.j Waste segregation</t>
  </si>
  <si>
    <t>Who are the school stakeholders actively engaged in the implementation of solid waste management?</t>
  </si>
  <si>
    <t>2.a Barangay</t>
  </si>
  <si>
    <t>2.b Community leaders</t>
  </si>
  <si>
    <t>2.c Local business partners</t>
  </si>
  <si>
    <t>2.d Municipal/City government</t>
  </si>
  <si>
    <t>2.e Parents</t>
  </si>
  <si>
    <t>Box 11. MENSTRUAL HYGIENE</t>
  </si>
  <si>
    <t>If the school provides for the availability of sanitary pads, 'where may learners get them?</t>
  </si>
  <si>
    <t>a. School Canteen</t>
  </si>
  <si>
    <t>b. School Clinic</t>
  </si>
  <si>
    <t>c. Guidance Office</t>
  </si>
  <si>
    <t>d. Others (Specify):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</si>
</sst>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9">
    <font>
      <sz val="11"/>
      <color theme="1"/>
      <name val="Calibri"/>
      <charset val="134"/>
      <scheme val="minor"/>
    </font>
    <font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i/>
      <sz val="9"/>
      <color theme="1"/>
      <name val="Times New Roman"/>
      <charset val="134"/>
    </font>
    <font>
      <b/>
      <sz val="9"/>
      <color theme="1"/>
      <name val="Times New Roman"/>
      <charset val="134"/>
    </font>
    <font>
      <b/>
      <sz val="9"/>
      <color theme="1"/>
      <name val="Wingdings"/>
      <charset val="2"/>
    </font>
    <font>
      <sz val="9"/>
      <color theme="1"/>
      <name val="Wingdings"/>
      <charset val="2"/>
    </font>
    <font>
      <sz val="1"/>
      <name val="Wingdings"/>
      <charset val="2"/>
    </font>
    <font>
      <sz val="1"/>
      <color theme="1"/>
      <name val="Times New Roman"/>
      <charset val="134"/>
    </font>
    <font>
      <b/>
      <sz val="1"/>
      <color theme="1"/>
      <name val="Times New Roman"/>
      <charset val="134"/>
    </font>
    <font>
      <sz val="1"/>
      <color theme="0"/>
      <name val="Wingdings"/>
      <charset val="2"/>
    </font>
    <font>
      <b/>
      <sz val="1"/>
      <color theme="0"/>
      <name val="Times New Roman"/>
      <charset val="134"/>
    </font>
    <font>
      <sz val="1"/>
      <color theme="0"/>
      <name val="Times New Roman"/>
      <charset val="134"/>
    </font>
    <font>
      <b/>
      <i/>
      <sz val="9"/>
      <color theme="1"/>
      <name val="Times New Roman"/>
      <charset val="134"/>
    </font>
    <font>
      <b/>
      <sz val="8"/>
      <color theme="1"/>
      <name val="Times New Roman"/>
      <charset val="134"/>
    </font>
    <font>
      <sz val="8"/>
      <color theme="1"/>
      <name val="Times New Roman"/>
      <charset val="134"/>
    </font>
    <font>
      <b/>
      <i/>
      <sz val="9"/>
      <color rgb="FFFF0000"/>
      <name val="Times New Roman"/>
      <charset val="134"/>
    </font>
    <font>
      <b/>
      <i/>
      <sz val="8"/>
      <color theme="1"/>
      <name val="Times New Roman"/>
      <charset val="134"/>
    </font>
    <font>
      <sz val="9"/>
      <color rgb="FF000000"/>
      <name val="Times New Roman"/>
      <charset val="134"/>
    </font>
    <font>
      <b/>
      <sz val="1"/>
      <color theme="1"/>
      <name val="Wingdings"/>
      <charset val="2"/>
    </font>
    <font>
      <sz val="11"/>
      <color theme="1"/>
      <name val="Times New Roman"/>
      <charset val="134"/>
    </font>
    <font>
      <i/>
      <sz val="10"/>
      <color theme="1"/>
      <name val="Times New Roman"/>
      <charset val="134"/>
    </font>
    <font>
      <b/>
      <sz val="18"/>
      <color theme="0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i/>
      <u/>
      <sz val="9"/>
      <color theme="1"/>
      <name val="Times New Roman"/>
      <charset val="134"/>
    </font>
    <font>
      <b/>
      <sz val="7"/>
      <color theme="1"/>
      <name val="Times New Roman"/>
      <charset val="134"/>
    </font>
    <font>
      <b/>
      <sz val="18"/>
      <color theme="0"/>
      <name val="Calibri"/>
      <charset val="134"/>
    </font>
    <font>
      <b/>
      <sz val="9"/>
      <color theme="1"/>
      <name val="Calibri"/>
      <charset val="134"/>
    </font>
    <font>
      <b/>
      <i/>
      <u/>
      <sz val="8"/>
      <color theme="1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0E0F0"/>
        <bgColor indexed="64"/>
      </patternFill>
    </fill>
    <fill>
      <patternFill patternType="solid">
        <fgColor rgb="FF86E0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/>
      <right style="thin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7" borderId="9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91" applyNumberFormat="0" applyFill="0" applyAlignment="0" applyProtection="0">
      <alignment vertical="center"/>
    </xf>
    <xf numFmtId="0" fontId="30" fillId="0" borderId="91" applyNumberFormat="0" applyFill="0" applyAlignment="0" applyProtection="0">
      <alignment vertical="center"/>
    </xf>
    <xf numFmtId="0" fontId="31" fillId="0" borderId="9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93" applyNumberFormat="0" applyAlignment="0" applyProtection="0">
      <alignment vertical="center"/>
    </xf>
    <xf numFmtId="0" fontId="33" fillId="9" borderId="94" applyNumberFormat="0" applyAlignment="0" applyProtection="0">
      <alignment vertical="center"/>
    </xf>
    <xf numFmtId="0" fontId="34" fillId="9" borderId="93" applyNumberFormat="0" applyAlignment="0" applyProtection="0">
      <alignment vertical="center"/>
    </xf>
    <xf numFmtId="0" fontId="35" fillId="10" borderId="95" applyNumberFormat="0" applyAlignment="0" applyProtection="0">
      <alignment vertical="center"/>
    </xf>
    <xf numFmtId="0" fontId="36" fillId="0" borderId="96" applyNumberFormat="0" applyFill="0" applyAlignment="0" applyProtection="0">
      <alignment vertical="center"/>
    </xf>
    <xf numFmtId="0" fontId="37" fillId="0" borderId="97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3" fillId="0" borderId="0"/>
  </cellStyleXfs>
  <cellXfs count="325">
    <xf numFmtId="0" fontId="0" fillId="0" borderId="0" xfId="0">
      <alignment vertical="center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/>
    <xf numFmtId="0" fontId="4" fillId="2" borderId="0" xfId="0" applyFont="1" applyFill="1" applyAlignment="1"/>
    <xf numFmtId="0" fontId="4" fillId="2" borderId="5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6" fillId="2" borderId="0" xfId="0" applyFont="1" applyFill="1" applyAlignment="1"/>
    <xf numFmtId="0" fontId="1" fillId="2" borderId="0" xfId="0" applyFont="1" applyFill="1" applyAlignment="1"/>
    <xf numFmtId="0" fontId="7" fillId="4" borderId="0" xfId="49" applyFont="1" applyFill="1" applyAlignment="1" applyProtection="1">
      <alignment horizontal="center"/>
      <protection locked="0"/>
    </xf>
    <xf numFmtId="0" fontId="1" fillId="2" borderId="5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1" fillId="2" borderId="0" xfId="0" applyFont="1" applyFill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4" fillId="3" borderId="0" xfId="0" applyFont="1" applyFill="1" applyAlignment="1">
      <alignment vertical="top"/>
    </xf>
    <xf numFmtId="0" fontId="4" fillId="0" borderId="0" xfId="0" applyFont="1" applyFill="1" applyAlignment="1">
      <alignment vertical="top"/>
    </xf>
    <xf numFmtId="0" fontId="1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7" fillId="4" borderId="0" xfId="49" applyFont="1" applyFill="1" applyAlignment="1" applyProtection="1">
      <alignment horizontal="center" vertical="center"/>
      <protection locked="0"/>
    </xf>
    <xf numFmtId="0" fontId="7" fillId="4" borderId="9" xfId="49" applyFont="1" applyFill="1" applyBorder="1" applyAlignment="1" applyProtection="1">
      <alignment horizontal="center" vertical="center"/>
      <protection locked="0"/>
    </xf>
    <xf numFmtId="0" fontId="1" fillId="4" borderId="10" xfId="0" applyFont="1" applyFill="1" applyBorder="1" applyAlignment="1" applyProtection="1">
      <alignment horizontal="left" vertical="center"/>
      <protection locked="0"/>
    </xf>
    <xf numFmtId="0" fontId="1" fillId="4" borderId="11" xfId="0" applyFont="1" applyFill="1" applyBorder="1" applyAlignment="1" applyProtection="1">
      <alignment horizontal="left" vertical="center"/>
      <protection locked="0"/>
    </xf>
    <xf numFmtId="0" fontId="10" fillId="4" borderId="0" xfId="49" applyFont="1" applyFill="1" applyAlignment="1" applyProtection="1">
      <alignment horizontal="center" vertical="center"/>
      <protection locked="0"/>
    </xf>
    <xf numFmtId="0" fontId="11" fillId="2" borderId="0" xfId="0" applyFont="1" applyFill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3" fontId="1" fillId="4" borderId="11" xfId="0" applyNumberFormat="1" applyFont="1" applyFill="1" applyBorder="1" applyAlignment="1">
      <alignment horizontal="center" vertical="center"/>
    </xf>
    <xf numFmtId="3" fontId="1" fillId="4" borderId="12" xfId="0" applyNumberFormat="1" applyFont="1" applyFill="1" applyBorder="1" applyAlignment="1">
      <alignment horizontal="center" vertical="center"/>
    </xf>
    <xf numFmtId="3" fontId="4" fillId="2" borderId="15" xfId="0" applyNumberFormat="1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center" vertical="center"/>
    </xf>
    <xf numFmtId="3" fontId="4" fillId="2" borderId="16" xfId="0" applyNumberFormat="1" applyFont="1" applyFill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/>
    </xf>
    <xf numFmtId="0" fontId="10" fillId="4" borderId="9" xfId="49" applyFont="1" applyFill="1" applyBorder="1" applyAlignment="1" applyProtection="1">
      <alignment horizontal="center" vertical="center"/>
      <protection locked="0"/>
    </xf>
    <xf numFmtId="0" fontId="1" fillId="4" borderId="12" xfId="0" applyFont="1" applyFill="1" applyBorder="1" applyAlignment="1" applyProtection="1">
      <alignment horizontal="left" vertical="center"/>
      <protection locked="0"/>
    </xf>
    <xf numFmtId="0" fontId="1" fillId="4" borderId="13" xfId="0" applyFont="1" applyFill="1" applyBorder="1" applyAlignment="1" applyProtection="1">
      <alignment horizontal="left" vertical="center"/>
      <protection locked="0"/>
    </xf>
    <xf numFmtId="0" fontId="1" fillId="4" borderId="9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3" fontId="4" fillId="2" borderId="21" xfId="0" applyNumberFormat="1" applyFont="1" applyFill="1" applyBorder="1" applyAlignment="1">
      <alignment horizontal="center" vertical="center"/>
    </xf>
    <xf numFmtId="3" fontId="1" fillId="4" borderId="22" xfId="0" applyNumberFormat="1" applyFont="1" applyFill="1" applyBorder="1" applyAlignment="1">
      <alignment horizontal="center" vertical="center"/>
    </xf>
    <xf numFmtId="3" fontId="4" fillId="2" borderId="12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3" fontId="1" fillId="0" borderId="12" xfId="0" applyNumberFormat="1" applyFont="1" applyFill="1" applyBorder="1" applyAlignment="1" applyProtection="1">
      <alignment horizontal="center" vertical="center"/>
      <protection locked="0"/>
    </xf>
    <xf numFmtId="3" fontId="1" fillId="0" borderId="13" xfId="0" applyNumberFormat="1" applyFont="1" applyFill="1" applyBorder="1" applyAlignment="1" applyProtection="1">
      <alignment horizontal="center" vertical="center"/>
      <protection locked="0"/>
    </xf>
    <xf numFmtId="3" fontId="1" fillId="0" borderId="1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11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left" vertical="center" wrapText="1"/>
    </xf>
    <xf numFmtId="3" fontId="4" fillId="4" borderId="11" xfId="0" applyNumberFormat="1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left" vertical="center"/>
    </xf>
    <xf numFmtId="3" fontId="15" fillId="0" borderId="18" xfId="0" applyNumberFormat="1" applyFont="1" applyFill="1" applyBorder="1" applyAlignment="1">
      <alignment horizontal="center" vertical="center"/>
    </xf>
    <xf numFmtId="3" fontId="15" fillId="0" borderId="19" xfId="0" applyNumberFormat="1" applyFont="1" applyFill="1" applyBorder="1" applyAlignment="1">
      <alignment horizontal="center" vertical="center"/>
    </xf>
    <xf numFmtId="3" fontId="15" fillId="0" borderId="20" xfId="0" applyNumberFormat="1" applyFont="1" applyFill="1" applyBorder="1" applyAlignment="1">
      <alignment horizontal="center" vertical="center"/>
    </xf>
    <xf numFmtId="3" fontId="15" fillId="0" borderId="26" xfId="0" applyNumberFormat="1" applyFont="1" applyFill="1" applyBorder="1" applyAlignment="1">
      <alignment horizontal="center" vertical="center"/>
    </xf>
    <xf numFmtId="3" fontId="14" fillId="2" borderId="27" xfId="0" applyNumberFormat="1" applyFont="1" applyFill="1" applyBorder="1" applyAlignment="1">
      <alignment horizontal="center" vertical="center"/>
    </xf>
    <xf numFmtId="3" fontId="14" fillId="2" borderId="19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3" fontId="15" fillId="0" borderId="24" xfId="0" applyNumberFormat="1" applyFont="1" applyFill="1" applyBorder="1" applyAlignment="1">
      <alignment horizontal="center" vertical="center"/>
    </xf>
    <xf numFmtId="3" fontId="15" fillId="0" borderId="9" xfId="0" applyNumberFormat="1" applyFont="1" applyFill="1" applyBorder="1" applyAlignment="1">
      <alignment horizontal="center" vertical="center"/>
    </xf>
    <xf numFmtId="3" fontId="15" fillId="0" borderId="25" xfId="0" applyNumberFormat="1" applyFont="1" applyFill="1" applyBorder="1" applyAlignment="1">
      <alignment horizontal="center" vertical="center"/>
    </xf>
    <xf numFmtId="3" fontId="15" fillId="0" borderId="28" xfId="0" applyNumberFormat="1" applyFont="1" applyFill="1" applyBorder="1" applyAlignment="1">
      <alignment horizontal="center" vertical="center"/>
    </xf>
    <xf numFmtId="3" fontId="14" fillId="2" borderId="29" xfId="0" applyNumberFormat="1" applyFont="1" applyFill="1" applyBorder="1" applyAlignment="1">
      <alignment horizontal="center" vertical="center"/>
    </xf>
    <xf numFmtId="3" fontId="14" fillId="2" borderId="9" xfId="0" applyNumberFormat="1" applyFont="1" applyFill="1" applyBorder="1" applyAlignment="1">
      <alignment horizontal="center" vertical="center"/>
    </xf>
    <xf numFmtId="3" fontId="14" fillId="2" borderId="25" xfId="0" applyNumberFormat="1" applyFont="1" applyFill="1" applyBorder="1" applyAlignment="1">
      <alignment horizontal="center" vertical="center"/>
    </xf>
    <xf numFmtId="0" fontId="15" fillId="2" borderId="30" xfId="0" applyFont="1" applyFill="1" applyBorder="1" applyAlignment="1">
      <alignment horizontal="left" vertical="center"/>
    </xf>
    <xf numFmtId="3" fontId="15" fillId="0" borderId="31" xfId="0" applyNumberFormat="1" applyFont="1" applyFill="1" applyBorder="1" applyAlignment="1">
      <alignment horizontal="center" vertical="center"/>
    </xf>
    <xf numFmtId="3" fontId="15" fillId="0" borderId="32" xfId="0" applyNumberFormat="1" applyFont="1" applyFill="1" applyBorder="1" applyAlignment="1">
      <alignment horizontal="center" vertical="center"/>
    </xf>
    <xf numFmtId="3" fontId="15" fillId="0" borderId="33" xfId="0" applyNumberFormat="1" applyFont="1" applyFill="1" applyBorder="1" applyAlignment="1">
      <alignment horizontal="center" vertical="center"/>
    </xf>
    <xf numFmtId="3" fontId="15" fillId="0" borderId="34" xfId="0" applyNumberFormat="1" applyFont="1" applyFill="1" applyBorder="1" applyAlignment="1">
      <alignment horizontal="center" vertical="center"/>
    </xf>
    <xf numFmtId="0" fontId="14" fillId="2" borderId="35" xfId="0" applyFont="1" applyFill="1" applyBorder="1" applyAlignment="1">
      <alignment horizontal="center" vertical="center"/>
    </xf>
    <xf numFmtId="3" fontId="14" fillId="2" borderId="36" xfId="0" applyNumberFormat="1" applyFont="1" applyFill="1" applyBorder="1" applyAlignment="1">
      <alignment horizontal="center" vertical="center"/>
    </xf>
    <xf numFmtId="3" fontId="14" fillId="2" borderId="37" xfId="0" applyNumberFormat="1" applyFont="1" applyFill="1" applyBorder="1" applyAlignment="1">
      <alignment horizontal="center" vertical="center"/>
    </xf>
    <xf numFmtId="3" fontId="14" fillId="2" borderId="38" xfId="0" applyNumberFormat="1" applyFont="1" applyFill="1" applyBorder="1" applyAlignment="1">
      <alignment horizontal="center" vertical="center"/>
    </xf>
    <xf numFmtId="3" fontId="14" fillId="2" borderId="39" xfId="0" applyNumberFormat="1" applyFont="1" applyFill="1" applyBorder="1" applyAlignment="1">
      <alignment horizontal="center" vertical="center"/>
    </xf>
    <xf numFmtId="3" fontId="14" fillId="2" borderId="24" xfId="0" applyNumberFormat="1" applyFont="1" applyFill="1" applyBorder="1" applyAlignment="1">
      <alignment horizontal="center" vertical="center"/>
    </xf>
    <xf numFmtId="3" fontId="14" fillId="2" borderId="28" xfId="0" applyNumberFormat="1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vertical="center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3" fontId="16" fillId="2" borderId="17" xfId="0" applyNumberFormat="1" applyFont="1" applyFill="1" applyBorder="1" applyAlignment="1">
      <alignment horizontal="left" vertical="center"/>
    </xf>
    <xf numFmtId="3" fontId="4" fillId="2" borderId="0" xfId="0" applyNumberFormat="1" applyFont="1" applyFill="1" applyAlignment="1">
      <alignment horizontal="left" vertical="center"/>
    </xf>
    <xf numFmtId="3" fontId="4" fillId="2" borderId="17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1" fillId="2" borderId="0" xfId="0" applyFont="1" applyFill="1" applyAlignment="1"/>
    <xf numFmtId="0" fontId="1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4" borderId="11" xfId="0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0" fillId="4" borderId="11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right" vertical="center" wrapText="1"/>
    </xf>
    <xf numFmtId="0" fontId="4" fillId="2" borderId="6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 wrapText="1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/>
    <xf numFmtId="0" fontId="12" fillId="4" borderId="0" xfId="0" applyFont="1" applyFill="1" applyAlignment="1" applyProtection="1">
      <alignment horizontal="center" vertical="center"/>
      <protection locked="0"/>
    </xf>
    <xf numFmtId="0" fontId="4" fillId="2" borderId="6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left" vertical="center" wrapText="1"/>
    </xf>
    <xf numFmtId="3" fontId="15" fillId="4" borderId="11" xfId="0" applyNumberFormat="1" applyFont="1" applyFill="1" applyBorder="1" applyAlignment="1">
      <alignment horizontal="center" vertical="center" wrapText="1"/>
    </xf>
    <xf numFmtId="3" fontId="15" fillId="4" borderId="12" xfId="0" applyNumberFormat="1" applyFont="1" applyFill="1" applyBorder="1" applyAlignment="1">
      <alignment horizontal="center" vertical="center" wrapText="1"/>
    </xf>
    <xf numFmtId="3" fontId="15" fillId="4" borderId="2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 indent="1"/>
    </xf>
    <xf numFmtId="0" fontId="1" fillId="2" borderId="13" xfId="0" applyFont="1" applyFill="1" applyBorder="1" applyAlignment="1">
      <alignment horizontal="left" vertical="center" indent="1"/>
    </xf>
    <xf numFmtId="0" fontId="1" fillId="2" borderId="14" xfId="0" applyFont="1" applyFill="1" applyBorder="1" applyAlignment="1">
      <alignment horizontal="left" vertical="center" indent="1"/>
    </xf>
    <xf numFmtId="3" fontId="1" fillId="4" borderId="14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2" borderId="18" xfId="0" applyFont="1" applyFill="1" applyBorder="1" applyAlignment="1">
      <alignment horizontal="left" vertical="center" indent="1"/>
    </xf>
    <xf numFmtId="0" fontId="1" fillId="2" borderId="19" xfId="0" applyFont="1" applyFill="1" applyBorder="1" applyAlignment="1">
      <alignment horizontal="left" vertical="center" indent="1"/>
    </xf>
    <xf numFmtId="0" fontId="1" fillId="2" borderId="20" xfId="0" applyFont="1" applyFill="1" applyBorder="1" applyAlignment="1">
      <alignment horizontal="left" vertical="center" indent="1"/>
    </xf>
    <xf numFmtId="0" fontId="14" fillId="2" borderId="0" xfId="0" applyFont="1" applyFill="1" applyAlignment="1">
      <alignment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3" fontId="4" fillId="2" borderId="44" xfId="0" applyNumberFormat="1" applyFont="1" applyFill="1" applyBorder="1" applyAlignment="1">
      <alignment horizontal="center" vertical="center"/>
    </xf>
    <xf numFmtId="3" fontId="4" fillId="2" borderId="41" xfId="0" applyNumberFormat="1" applyFont="1" applyFill="1" applyBorder="1" applyAlignment="1">
      <alignment horizontal="center" vertical="center"/>
    </xf>
    <xf numFmtId="3" fontId="4" fillId="2" borderId="45" xfId="0" applyNumberFormat="1" applyFont="1" applyFill="1" applyBorder="1" applyAlignment="1">
      <alignment horizontal="center" vertical="center"/>
    </xf>
    <xf numFmtId="3" fontId="4" fillId="2" borderId="46" xfId="0" applyNumberFormat="1" applyFont="1" applyFill="1" applyBorder="1" applyAlignment="1">
      <alignment horizontal="center" vertical="center"/>
    </xf>
    <xf numFmtId="3" fontId="4" fillId="2" borderId="43" xfId="0" applyNumberFormat="1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left" vertical="center"/>
    </xf>
    <xf numFmtId="0" fontId="13" fillId="2" borderId="48" xfId="0" applyFont="1" applyFill="1" applyBorder="1" applyAlignment="1">
      <alignment horizontal="left" vertical="center"/>
    </xf>
    <xf numFmtId="0" fontId="13" fillId="2" borderId="49" xfId="0" applyFont="1" applyFill="1" applyBorder="1" applyAlignment="1">
      <alignment horizontal="left" vertical="center"/>
    </xf>
    <xf numFmtId="3" fontId="4" fillId="2" borderId="50" xfId="0" applyNumberFormat="1" applyFont="1" applyFill="1" applyBorder="1" applyAlignment="1">
      <alignment horizontal="center" vertical="center"/>
    </xf>
    <xf numFmtId="3" fontId="4" fillId="2" borderId="51" xfId="0" applyNumberFormat="1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3" fontId="4" fillId="2" borderId="35" xfId="0" applyNumberFormat="1" applyFont="1" applyFill="1" applyBorder="1" applyAlignment="1">
      <alignment horizontal="center" vertical="center"/>
    </xf>
    <xf numFmtId="3" fontId="4" fillId="2" borderId="52" xfId="0" applyNumberFormat="1" applyFont="1" applyFill="1" applyBorder="1" applyAlignment="1">
      <alignment horizontal="center" vertical="center"/>
    </xf>
    <xf numFmtId="3" fontId="4" fillId="2" borderId="55" xfId="0" applyNumberFormat="1" applyFont="1" applyFill="1" applyBorder="1" applyAlignment="1">
      <alignment horizontal="center" vertical="center"/>
    </xf>
    <xf numFmtId="3" fontId="4" fillId="2" borderId="56" xfId="0" applyNumberFormat="1" applyFont="1" applyFill="1" applyBorder="1" applyAlignment="1">
      <alignment horizontal="center" vertical="center"/>
    </xf>
    <xf numFmtId="3" fontId="4" fillId="2" borderId="54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" fillId="2" borderId="11" xfId="0" applyFont="1" applyFill="1" applyBorder="1" applyAlignment="1">
      <alignment horizontal="left" vertical="center" wrapText="1"/>
    </xf>
    <xf numFmtId="3" fontId="1" fillId="4" borderId="18" xfId="0" applyNumberFormat="1" applyFont="1" applyFill="1" applyBorder="1" applyAlignment="1">
      <alignment horizontal="center" vertical="center"/>
    </xf>
    <xf numFmtId="3" fontId="1" fillId="4" borderId="19" xfId="0" applyNumberFormat="1" applyFont="1" applyFill="1" applyBorder="1" applyAlignment="1">
      <alignment horizontal="center" vertical="center"/>
    </xf>
    <xf numFmtId="3" fontId="1" fillId="4" borderId="20" xfId="0" applyNumberFormat="1" applyFont="1" applyFill="1" applyBorder="1" applyAlignment="1">
      <alignment horizontal="center" vertical="center"/>
    </xf>
    <xf numFmtId="3" fontId="1" fillId="2" borderId="27" xfId="0" applyNumberFormat="1" applyFont="1" applyFill="1" applyBorder="1" applyAlignment="1">
      <alignment horizontal="center" vertical="center"/>
    </xf>
    <xf numFmtId="3" fontId="1" fillId="2" borderId="19" xfId="0" applyNumberFormat="1" applyFont="1" applyFill="1" applyBorder="1" applyAlignment="1">
      <alignment horizontal="center" vertical="center"/>
    </xf>
    <xf numFmtId="3" fontId="1" fillId="2" borderId="57" xfId="0" applyNumberFormat="1" applyFont="1" applyFill="1" applyBorder="1" applyAlignment="1">
      <alignment horizontal="center" vertical="center"/>
    </xf>
    <xf numFmtId="3" fontId="1" fillId="4" borderId="58" xfId="0" applyNumberFormat="1" applyFont="1" applyFill="1" applyBorder="1" applyAlignment="1">
      <alignment horizontal="center" vertical="center"/>
    </xf>
    <xf numFmtId="3" fontId="1" fillId="2" borderId="20" xfId="0" applyNumberFormat="1" applyFont="1" applyFill="1" applyBorder="1" applyAlignment="1">
      <alignment horizontal="center" vertical="center"/>
    </xf>
    <xf numFmtId="3" fontId="1" fillId="4" borderId="24" xfId="0" applyNumberFormat="1" applyFont="1" applyFill="1" applyBorder="1" applyAlignment="1">
      <alignment horizontal="center" vertical="center"/>
    </xf>
    <xf numFmtId="3" fontId="1" fillId="4" borderId="9" xfId="0" applyNumberFormat="1" applyFont="1" applyFill="1" applyBorder="1" applyAlignment="1">
      <alignment horizontal="center" vertical="center"/>
    </xf>
    <xf numFmtId="3" fontId="1" fillId="4" borderId="25" xfId="0" applyNumberFormat="1" applyFont="1" applyFill="1" applyBorder="1" applyAlignment="1">
      <alignment horizontal="center" vertical="center"/>
    </xf>
    <xf numFmtId="3" fontId="1" fillId="2" borderId="29" xfId="0" applyNumberFormat="1" applyFont="1" applyFill="1" applyBorder="1" applyAlignment="1">
      <alignment horizontal="center" vertical="center"/>
    </xf>
    <xf numFmtId="3" fontId="1" fillId="2" borderId="9" xfId="0" applyNumberFormat="1" applyFont="1" applyFill="1" applyBorder="1" applyAlignment="1">
      <alignment horizontal="center" vertical="center"/>
    </xf>
    <xf numFmtId="3" fontId="1" fillId="2" borderId="59" xfId="0" applyNumberFormat="1" applyFont="1" applyFill="1" applyBorder="1" applyAlignment="1">
      <alignment horizontal="center" vertical="center"/>
    </xf>
    <xf numFmtId="3" fontId="1" fillId="4" borderId="60" xfId="0" applyNumberFormat="1" applyFont="1" applyFill="1" applyBorder="1" applyAlignment="1">
      <alignment horizontal="center" vertical="center"/>
    </xf>
    <xf numFmtId="3" fontId="1" fillId="2" borderId="25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" fillId="2" borderId="11" xfId="0" applyFont="1" applyFill="1" applyBorder="1" applyAlignment="1">
      <alignment horizontal="left" vertical="center"/>
    </xf>
    <xf numFmtId="3" fontId="1" fillId="5" borderId="11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3" fontId="1" fillId="4" borderId="13" xfId="0" applyNumberFormat="1" applyFont="1" applyFill="1" applyBorder="1" applyAlignment="1">
      <alignment horizontal="center" vertical="center"/>
    </xf>
    <xf numFmtId="3" fontId="1" fillId="4" borderId="61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1" fillId="2" borderId="30" xfId="0" applyFont="1" applyFill="1" applyBorder="1" applyAlignment="1">
      <alignment horizontal="left" vertical="center"/>
    </xf>
    <xf numFmtId="3" fontId="1" fillId="4" borderId="62" xfId="0" applyNumberFormat="1" applyFont="1" applyFill="1" applyBorder="1" applyAlignment="1">
      <alignment horizontal="center" vertical="center"/>
    </xf>
    <xf numFmtId="3" fontId="1" fillId="4" borderId="63" xfId="0" applyNumberFormat="1" applyFont="1" applyFill="1" applyBorder="1" applyAlignment="1">
      <alignment horizontal="center" vertical="center"/>
    </xf>
    <xf numFmtId="3" fontId="1" fillId="4" borderId="64" xfId="0" applyNumberFormat="1" applyFont="1" applyFill="1" applyBorder="1" applyAlignment="1">
      <alignment horizontal="center" vertical="center"/>
    </xf>
    <xf numFmtId="3" fontId="1" fillId="4" borderId="51" xfId="0" applyNumberFormat="1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3" fontId="4" fillId="2" borderId="53" xfId="0" applyNumberFormat="1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3" fontId="4" fillId="2" borderId="65" xfId="0" applyNumberFormat="1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3" fontId="4" fillId="2" borderId="66" xfId="0" applyNumberFormat="1" applyFont="1" applyFill="1" applyBorder="1" applyAlignment="1">
      <alignment horizontal="center" vertical="center"/>
    </xf>
    <xf numFmtId="3" fontId="1" fillId="4" borderId="23" xfId="0" applyNumberFormat="1" applyFont="1" applyFill="1" applyBorder="1" applyAlignment="1">
      <alignment horizontal="center" vertical="center"/>
    </xf>
    <xf numFmtId="3" fontId="1" fillId="4" borderId="67" xfId="0" applyNumberFormat="1" applyFont="1" applyFill="1" applyBorder="1" applyAlignment="1">
      <alignment horizontal="center" vertical="center"/>
    </xf>
    <xf numFmtId="3" fontId="4" fillId="2" borderId="68" xfId="0" applyNumberFormat="1" applyFont="1" applyFill="1" applyBorder="1" applyAlignment="1">
      <alignment horizontal="center" vertical="center"/>
    </xf>
    <xf numFmtId="3" fontId="4" fillId="2" borderId="63" xfId="0" applyNumberFormat="1" applyFont="1" applyFill="1" applyBorder="1" applyAlignment="1">
      <alignment horizontal="center" vertical="center"/>
    </xf>
    <xf numFmtId="3" fontId="4" fillId="2" borderId="64" xfId="0" applyNumberFormat="1" applyFont="1" applyFill="1" applyBorder="1" applyAlignment="1">
      <alignment horizontal="center" vertical="center"/>
    </xf>
    <xf numFmtId="3" fontId="4" fillId="2" borderId="62" xfId="0" applyNumberFormat="1" applyFont="1" applyFill="1" applyBorder="1" applyAlignment="1">
      <alignment horizontal="center" vertical="center"/>
    </xf>
    <xf numFmtId="3" fontId="4" fillId="2" borderId="69" xfId="0" applyNumberFormat="1" applyFont="1" applyFill="1" applyBorder="1" applyAlignment="1">
      <alignment horizontal="center" vertical="center"/>
    </xf>
    <xf numFmtId="3" fontId="1" fillId="4" borderId="70" xfId="0" applyNumberFormat="1" applyFont="1" applyFill="1" applyBorder="1" applyAlignment="1">
      <alignment horizontal="center" vertical="center"/>
    </xf>
    <xf numFmtId="3" fontId="4" fillId="2" borderId="71" xfId="0" applyNumberFormat="1" applyFont="1" applyFill="1" applyBorder="1" applyAlignment="1">
      <alignment horizontal="center" vertical="center"/>
    </xf>
    <xf numFmtId="3" fontId="4" fillId="2" borderId="72" xfId="0" applyNumberFormat="1" applyFont="1" applyFill="1" applyBorder="1" applyAlignment="1">
      <alignment horizontal="center" vertical="center"/>
    </xf>
    <xf numFmtId="3" fontId="4" fillId="2" borderId="7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vertical="top"/>
    </xf>
    <xf numFmtId="0" fontId="16" fillId="0" borderId="0" xfId="0" applyFont="1" applyFill="1" applyAlignment="1">
      <alignment vertical="center"/>
    </xf>
    <xf numFmtId="0" fontId="16" fillId="2" borderId="2" xfId="0" applyFont="1" applyFill="1" applyBorder="1" applyAlignment="1">
      <alignment vertical="center"/>
    </xf>
    <xf numFmtId="0" fontId="14" fillId="2" borderId="1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left" vertical="center"/>
    </xf>
    <xf numFmtId="0" fontId="1" fillId="2" borderId="30" xfId="0" applyFont="1" applyFill="1" applyBorder="1" applyAlignment="1">
      <alignment horizontal="left" vertical="center" wrapText="1"/>
    </xf>
    <xf numFmtId="3" fontId="1" fillId="4" borderId="30" xfId="0" applyNumberFormat="1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/>
    </xf>
    <xf numFmtId="0" fontId="16" fillId="2" borderId="7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vertical="center"/>
    </xf>
    <xf numFmtId="0" fontId="23" fillId="0" borderId="7" xfId="0" applyFont="1" applyFill="1" applyBorder="1" applyAlignment="1">
      <alignment vertical="center" wrapText="1"/>
    </xf>
    <xf numFmtId="0" fontId="4" fillId="0" borderId="74" xfId="0" applyFont="1" applyFill="1" applyBorder="1" applyAlignment="1">
      <alignment horizontal="center" vertical="center" wrapText="1"/>
    </xf>
    <xf numFmtId="0" fontId="4" fillId="0" borderId="75" xfId="0" applyFont="1" applyFill="1" applyBorder="1" applyAlignment="1">
      <alignment horizontal="center" vertical="center" wrapText="1"/>
    </xf>
    <xf numFmtId="0" fontId="4" fillId="0" borderId="76" xfId="0" applyFont="1" applyFill="1" applyBorder="1" applyAlignment="1">
      <alignment horizontal="center" vertical="center" wrapText="1"/>
    </xf>
    <xf numFmtId="0" fontId="4" fillId="0" borderId="77" xfId="0" applyFont="1" applyFill="1" applyBorder="1" applyAlignment="1">
      <alignment horizontal="center" vertical="center" wrapText="1"/>
    </xf>
    <xf numFmtId="0" fontId="4" fillId="0" borderId="78" xfId="0" applyFont="1" applyFill="1" applyBorder="1" applyAlignment="1">
      <alignment horizontal="center" vertical="center" wrapText="1"/>
    </xf>
    <xf numFmtId="0" fontId="4" fillId="0" borderId="79" xfId="0" applyFont="1" applyFill="1" applyBorder="1" applyAlignment="1">
      <alignment horizontal="center" vertical="center" wrapText="1"/>
    </xf>
    <xf numFmtId="0" fontId="13" fillId="0" borderId="80" xfId="0" applyFont="1" applyFill="1" applyBorder="1" applyAlignment="1">
      <alignment vertical="center"/>
    </xf>
    <xf numFmtId="0" fontId="13" fillId="0" borderId="48" xfId="0" applyFont="1" applyFill="1" applyBorder="1" applyAlignment="1">
      <alignment vertical="center"/>
    </xf>
    <xf numFmtId="0" fontId="13" fillId="0" borderId="81" xfId="0" applyFont="1" applyFill="1" applyBorder="1" applyAlignment="1">
      <alignment vertical="center"/>
    </xf>
    <xf numFmtId="0" fontId="1" fillId="0" borderId="82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 wrapText="1"/>
    </xf>
    <xf numFmtId="0" fontId="1" fillId="0" borderId="83" xfId="0" applyFont="1" applyFill="1" applyBorder="1" applyAlignment="1">
      <alignment horizontal="center" vertical="center"/>
    </xf>
    <xf numFmtId="0" fontId="1" fillId="0" borderId="84" xfId="0" applyFont="1" applyFill="1" applyBorder="1" applyAlignment="1">
      <alignment horizontal="center" vertical="center"/>
    </xf>
    <xf numFmtId="0" fontId="1" fillId="0" borderId="85" xfId="0" applyFont="1" applyFill="1" applyBorder="1" applyAlignment="1">
      <alignment horizontal="center" vertical="center"/>
    </xf>
    <xf numFmtId="0" fontId="1" fillId="0" borderId="86" xfId="0" applyFont="1" applyFill="1" applyBorder="1" applyAlignment="1">
      <alignment vertical="center" wrapText="1"/>
    </xf>
    <xf numFmtId="0" fontId="1" fillId="0" borderId="87" xfId="0" applyFont="1" applyFill="1" applyBorder="1" applyAlignment="1">
      <alignment vertical="center" wrapText="1"/>
    </xf>
    <xf numFmtId="0" fontId="1" fillId="0" borderId="88" xfId="0" applyFont="1" applyFill="1" applyBorder="1" applyAlignment="1">
      <alignment vertical="center" wrapText="1"/>
    </xf>
    <xf numFmtId="0" fontId="1" fillId="0" borderId="89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9" xfId="0" applyFont="1" applyFill="1" applyBorder="1" applyAlignment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  <protection locked="0"/>
    </xf>
    <xf numFmtId="0" fontId="1" fillId="0" borderId="19" xfId="0" applyFont="1" applyFill="1" applyBorder="1" applyAlignment="1">
      <alignment horizontal="center" vertical="center"/>
    </xf>
    <xf numFmtId="0" fontId="1" fillId="2" borderId="0" xfId="0" applyFont="1" applyFill="1" applyAlignment="1" quotePrefix="1">
      <alignment vertical="center"/>
    </xf>
    <xf numFmtId="0" fontId="13" fillId="2" borderId="0" xfId="0" applyFont="1" applyFill="1" applyAlignment="1" quotePrefix="1">
      <alignment vertical="top"/>
    </xf>
    <xf numFmtId="0" fontId="4" fillId="2" borderId="0" xfId="0" applyFont="1" applyFill="1" applyAlignment="1" quotePrefix="1">
      <alignment vertical="center"/>
    </xf>
    <xf numFmtId="0" fontId="1" fillId="2" borderId="0" xfId="0" applyFont="1" applyFill="1" applyAlignment="1" quotePrefix="1">
      <alignment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ICTSurvey 2010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fmlaLink="#REF!" noThreeD="1" val="0"/>
</file>

<file path=xl/ctrlProps/ctrlProp2.xml><?xml version="1.0" encoding="utf-8"?>
<formControlPr xmlns="http://schemas.microsoft.com/office/spreadsheetml/2009/9/main" objectType="CheckBox" fmlaLink="#REF!" noThreeD="1" val="0"/>
</file>

<file path=xl/ctrlProps/ctrlProp3.xml><?xml version="1.0" encoding="utf-8"?>
<formControlPr xmlns="http://schemas.microsoft.com/office/spreadsheetml/2009/9/main" objectType="CheckBox" fmlaLink="#REF!" noThreeD="1" val="0"/>
</file>

<file path=xl/ctrlProps/ctrlProp4.xml><?xml version="1.0" encoding="utf-8"?>
<formControlPr xmlns="http://schemas.microsoft.com/office/spreadsheetml/2009/9/main" objectType="CheckBox" fmlaLink="#REF!" noThreeD="1" val="0"/>
</file>

<file path=xl/ctrlProps/ctrlProp5.xml><?xml version="1.0" encoding="utf-8"?>
<formControlPr xmlns="http://schemas.microsoft.com/office/spreadsheetml/2009/9/main" objectType="CheckBox" fmlaLink="#REF!" noThreeD="1" val="0"/>
</file>

<file path=xl/ctrlProps/ctrlProp6.xml><?xml version="1.0" encoding="utf-8"?>
<formControlPr xmlns="http://schemas.microsoft.com/office/spreadsheetml/2009/9/main" objectType="CheckBox" fmlaLink="#REF!" noThreeD="1" val="0"/>
</file>

<file path=xl/ctrlProps/ctrlProp7.xml><?xml version="1.0" encoding="utf-8"?>
<formControlPr xmlns="http://schemas.microsoft.com/office/spreadsheetml/2009/9/main" objectType="CheckBox" fmlaLink="#REF!" noThreeD="1" val="0"/>
</file>

<file path=xl/ctrlProps/ctrlProp8.xml><?xml version="1.0" encoding="utf-8"?>
<formControlPr xmlns="http://schemas.microsoft.com/office/spreadsheetml/2009/9/main" objectType="CheckBox" fmlaLink="#REF!" noThreeD="1" val="0"/>
</file>

<file path=xl/ctrlProps/ctrlProp9.xml><?xml version="1.0" encoding="utf-8"?>
<formControlPr xmlns="http://schemas.microsoft.com/office/spreadsheetml/2009/9/main" objectType="CheckBox" fmlaLink="#REF!" noThreeD="1" val="0"/>
</file>

<file path=xl/ctrlProps/ctrlProp10.xml><?xml version="1.0" encoding="utf-8"?>
<formControlPr xmlns="http://schemas.microsoft.com/office/spreadsheetml/2009/9/main" objectType="CheckBox" fmlaLink="#REF!" noThreeD="1" val="0"/>
</file>

<file path=xl/ctrlProps/ctrlProp11.xml><?xml version="1.0" encoding="utf-8"?>
<formControlPr xmlns="http://schemas.microsoft.com/office/spreadsheetml/2009/9/main" objectType="CheckBox" fmlaLink="#REF!" noThreeD="1" val="0"/>
</file>

<file path=xl/ctrlProps/ctrlProp12.xml><?xml version="1.0" encoding="utf-8"?>
<formControlPr xmlns="http://schemas.microsoft.com/office/spreadsheetml/2009/9/main" objectType="CheckBox" fmlaLink="#REF!" noThreeD="1" val="0"/>
</file>

<file path=xl/ctrlProps/ctrlProp13.xml><?xml version="1.0" encoding="utf-8"?>
<formControlPr xmlns="http://schemas.microsoft.com/office/spreadsheetml/2009/9/main" objectType="CheckBox" fmlaLink="#REF!" noThreeD="1" val="0"/>
</file>

<file path=xl/ctrlProps/ctrlProp14.xml><?xml version="1.0" encoding="utf-8"?>
<formControlPr xmlns="http://schemas.microsoft.com/office/spreadsheetml/2009/9/main" objectType="CheckBox" fmlaLink="#REF!" noThreeD="1" val="0"/>
</file>

<file path=xl/ctrlProps/ctrlProp15.xml><?xml version="1.0" encoding="utf-8"?>
<formControlPr xmlns="http://schemas.microsoft.com/office/spreadsheetml/2009/9/main" objectType="CheckBox" fmlaLink="#REF!" noThreeD="1" val="0"/>
</file>

<file path=xl/ctrlProps/ctrlProp16.xml><?xml version="1.0" encoding="utf-8"?>
<formControlPr xmlns="http://schemas.microsoft.com/office/spreadsheetml/2009/9/main" objectType="CheckBox" fmlaLink="#REF!" noThreeD="1" val="0"/>
</file>

<file path=xl/ctrlProps/ctrlProp17.xml><?xml version="1.0" encoding="utf-8"?>
<formControlPr xmlns="http://schemas.microsoft.com/office/spreadsheetml/2009/9/main" objectType="CheckBox" fmlaLink="#REF!" noThreeD="1" val="0"/>
</file>

<file path=xl/ctrlProps/ctrlProp18.xml><?xml version="1.0" encoding="utf-8"?>
<formControlPr xmlns="http://schemas.microsoft.com/office/spreadsheetml/2009/9/main" objectType="CheckBox" fmlaLink="#REF!" noThreeD="1" val="0"/>
</file>

<file path=xl/ctrlProps/ctrlProp19.xml><?xml version="1.0" encoding="utf-8"?>
<formControlPr xmlns="http://schemas.microsoft.com/office/spreadsheetml/2009/9/main" objectType="CheckBox" fmlaLink="#REF!" noThreeD="1" val="0"/>
</file>

<file path=xl/ctrlProps/ctrlProp20.xml><?xml version="1.0" encoding="utf-8"?>
<formControlPr xmlns="http://schemas.microsoft.com/office/spreadsheetml/2009/9/main" objectType="CheckBox" fmlaLink="#REF!" noThreeD="1" val="0"/>
</file>

<file path=xl/ctrlProps/ctrlProp21.xml><?xml version="1.0" encoding="utf-8"?>
<formControlPr xmlns="http://schemas.microsoft.com/office/spreadsheetml/2009/9/main" objectType="CheckBox" fmlaLink="#REF!" noThreeD="1" val="0"/>
</file>

<file path=xl/ctrlProps/ctrlProp22.xml><?xml version="1.0" encoding="utf-8"?>
<formControlPr xmlns="http://schemas.microsoft.com/office/spreadsheetml/2009/9/main" objectType="CheckBox" fmlaLink="#REF!" noThreeD="1" val="0"/>
</file>

<file path=xl/ctrlProps/ctrlProp23.xml><?xml version="1.0" encoding="utf-8"?>
<formControlPr xmlns="http://schemas.microsoft.com/office/spreadsheetml/2009/9/main" objectType="CheckBox" fmlaLink="#REF!" noThreeD="1" val="0"/>
</file>

<file path=xl/ctrlProps/ctrlProp24.xml><?xml version="1.0" encoding="utf-8"?>
<formControlPr xmlns="http://schemas.microsoft.com/office/spreadsheetml/2009/9/main" objectType="CheckBox" fmlaLink="#REF!" noThreeD="1" val="0"/>
</file>

<file path=xl/ctrlProps/ctrlProp25.xml><?xml version="1.0" encoding="utf-8"?>
<formControlPr xmlns="http://schemas.microsoft.com/office/spreadsheetml/2009/9/main" objectType="CheckBox" fmlaLink="#REF!" noThreeD="1" val="0"/>
</file>

<file path=xl/ctrlProps/ctrlProp26.xml><?xml version="1.0" encoding="utf-8"?>
<formControlPr xmlns="http://schemas.microsoft.com/office/spreadsheetml/2009/9/main" objectType="CheckBox" fmlaLink="#REF!" noThreeD="1" val="0"/>
</file>

<file path=xl/ctrlProps/ctrlProp27.xml><?xml version="1.0" encoding="utf-8"?>
<formControlPr xmlns="http://schemas.microsoft.com/office/spreadsheetml/2009/9/main" objectType="CheckBox" fmlaLink="#REF!" noThreeD="1" val="0"/>
</file>

<file path=xl/ctrlProps/ctrlProp28.xml><?xml version="1.0" encoding="utf-8"?>
<formControlPr xmlns="http://schemas.microsoft.com/office/spreadsheetml/2009/9/main" objectType="CheckBox" fmlaLink="#REF!" noThreeD="1" val="0"/>
</file>

<file path=xl/ctrlProps/ctrlProp29.xml><?xml version="1.0" encoding="utf-8"?>
<formControlPr xmlns="http://schemas.microsoft.com/office/spreadsheetml/2009/9/main" objectType="CheckBox" fmlaLink="#REF!" noThreeD="1" val="0"/>
</file>

<file path=xl/ctrlProps/ctrlProp30.xml><?xml version="1.0" encoding="utf-8"?>
<formControlPr xmlns="http://schemas.microsoft.com/office/spreadsheetml/2009/9/main" objectType="CheckBox" fmlaLink="#REF!" noThreeD="1" val="0"/>
</file>

<file path=xl/ctrlProps/ctrlProp31.xml><?xml version="1.0" encoding="utf-8"?>
<formControlPr xmlns="http://schemas.microsoft.com/office/spreadsheetml/2009/9/main" objectType="CheckBox" fmlaLink="#REF!" noThreeD="1" val="0"/>
</file>

<file path=xl/ctrlProps/ctrlProp32.xml><?xml version="1.0" encoding="utf-8"?>
<formControlPr xmlns="http://schemas.microsoft.com/office/spreadsheetml/2009/9/main" objectType="CheckBox" fmlaLink="#REF!" noThreeD="1" val="0"/>
</file>

<file path=xl/ctrlProps/ctrlProp33.xml><?xml version="1.0" encoding="utf-8"?>
<formControlPr xmlns="http://schemas.microsoft.com/office/spreadsheetml/2009/9/main" objectType="CheckBox" fmlaLink="#REF!" noThreeD="1" val="0"/>
</file>

<file path=xl/ctrlProps/ctrlProp34.xml><?xml version="1.0" encoding="utf-8"?>
<formControlPr xmlns="http://schemas.microsoft.com/office/spreadsheetml/2009/9/main" objectType="CheckBox" fmlaLink="#REF!" noThreeD="1" val="0"/>
</file>

<file path=xl/ctrlProps/ctrlProp35.xml><?xml version="1.0" encoding="utf-8"?>
<formControlPr xmlns="http://schemas.microsoft.com/office/spreadsheetml/2009/9/main" objectType="CheckBox" fmlaLink="#REF!" noThreeD="1" val="0"/>
</file>

<file path=xl/ctrlProps/ctrlProp36.xml><?xml version="1.0" encoding="utf-8"?>
<formControlPr xmlns="http://schemas.microsoft.com/office/spreadsheetml/2009/9/main" objectType="CheckBox" fmlaLink="#REF!" noThreeD="1" val="0"/>
</file>

<file path=xl/ctrlProps/ctrlProp37.xml><?xml version="1.0" encoding="utf-8"?>
<formControlPr xmlns="http://schemas.microsoft.com/office/spreadsheetml/2009/9/main" objectType="CheckBox" fmlaLink="#REF!" noThreeD="1" val="0"/>
</file>

<file path=xl/ctrlProps/ctrlProp38.xml><?xml version="1.0" encoding="utf-8"?>
<formControlPr xmlns="http://schemas.microsoft.com/office/spreadsheetml/2009/9/main" objectType="CheckBox" fmlaLink="#REF!" noThreeD="1" val="0"/>
</file>

<file path=xl/ctrlProps/ctrlProp39.xml><?xml version="1.0" encoding="utf-8"?>
<formControlPr xmlns="http://schemas.microsoft.com/office/spreadsheetml/2009/9/main" objectType="CheckBox" fmlaLink="#REF!" noThreeD="1" val="0"/>
</file>

<file path=xl/ctrlProps/ctrlProp40.xml><?xml version="1.0" encoding="utf-8"?>
<formControlPr xmlns="http://schemas.microsoft.com/office/spreadsheetml/2009/9/main" objectType="CheckBox" fmlaLink="#REF!" noThreeD="1" val="0"/>
</file>

<file path=xl/ctrlProps/ctrlProp41.xml><?xml version="1.0" encoding="utf-8"?>
<formControlPr xmlns="http://schemas.microsoft.com/office/spreadsheetml/2009/9/main" objectType="CheckBox" fmlaLink="#REF!" noThreeD="1" val="0"/>
</file>

<file path=xl/ctrlProps/ctrlProp42.xml><?xml version="1.0" encoding="utf-8"?>
<formControlPr xmlns="http://schemas.microsoft.com/office/spreadsheetml/2009/9/main" objectType="CheckBox" fmlaLink="#REF!" noThreeD="1" val="0"/>
</file>

<file path=xl/ctrlProps/ctrlProp43.xml><?xml version="1.0" encoding="utf-8"?>
<formControlPr xmlns="http://schemas.microsoft.com/office/spreadsheetml/2009/9/main" objectType="CheckBox" fmlaLink="#REF!" noThreeD="1" val="0"/>
</file>

<file path=xl/ctrlProps/ctrlProp44.xml><?xml version="1.0" encoding="utf-8"?>
<formControlPr xmlns="http://schemas.microsoft.com/office/spreadsheetml/2009/9/main" objectType="CheckBox" fmlaLink="#REF!" noThreeD="1" val="0"/>
</file>

<file path=xl/ctrlProps/ctrlProp45.xml><?xml version="1.0" encoding="utf-8"?>
<formControlPr xmlns="http://schemas.microsoft.com/office/spreadsheetml/2009/9/main" objectType="CheckBox" fmlaLink="#REF!" noThreeD="1" val="0"/>
</file>

<file path=xl/ctrlProps/ctrlProp46.xml><?xml version="1.0" encoding="utf-8"?>
<formControlPr xmlns="http://schemas.microsoft.com/office/spreadsheetml/2009/9/main" objectType="CheckBox" fmlaLink="#REF!" noThreeD="1" val="0"/>
</file>

<file path=xl/ctrlProps/ctrlProp47.xml><?xml version="1.0" encoding="utf-8"?>
<formControlPr xmlns="http://schemas.microsoft.com/office/spreadsheetml/2009/9/main" objectType="CheckBox" fmlaLink="#REF!" noThreeD="1" val="0"/>
</file>

<file path=xl/ctrlProps/ctrlProp48.xml><?xml version="1.0" encoding="utf-8"?>
<formControlPr xmlns="http://schemas.microsoft.com/office/spreadsheetml/2009/9/main" objectType="CheckBox" fmlaLink="#REF!" noThreeD="1" val="0"/>
</file>

<file path=xl/ctrlProps/ctrlProp49.xml><?xml version="1.0" encoding="utf-8"?>
<formControlPr xmlns="http://schemas.microsoft.com/office/spreadsheetml/2009/9/main" objectType="CheckBox" fmlaLink="#REF!" noThreeD="1" val="0"/>
</file>

<file path=xl/ctrlProps/ctrlProp50.xml><?xml version="1.0" encoding="utf-8"?>
<formControlPr xmlns="http://schemas.microsoft.com/office/spreadsheetml/2009/9/main" objectType="CheckBox" fmlaLink="#REF!" noThreeD="1" val="0"/>
</file>

<file path=xl/ctrlProps/ctrlProp51.xml><?xml version="1.0" encoding="utf-8"?>
<formControlPr xmlns="http://schemas.microsoft.com/office/spreadsheetml/2009/9/main" objectType="CheckBox" fmlaLink="#REF!" noThreeD="1" val="0"/>
</file>

<file path=xl/ctrlProps/ctrlProp52.xml><?xml version="1.0" encoding="utf-8"?>
<formControlPr xmlns="http://schemas.microsoft.com/office/spreadsheetml/2009/9/main" objectType="CheckBox" fmlaLink="#REF!" noThreeD="1" val="0"/>
</file>

<file path=xl/ctrlProps/ctrlProp53.xml><?xml version="1.0" encoding="utf-8"?>
<formControlPr xmlns="http://schemas.microsoft.com/office/spreadsheetml/2009/9/main" objectType="CheckBox" fmlaLink="#REF!" noThreeD="1" val="0"/>
</file>

<file path=xl/ctrlProps/ctrlProp54.xml><?xml version="1.0" encoding="utf-8"?>
<formControlPr xmlns="http://schemas.microsoft.com/office/spreadsheetml/2009/9/main" objectType="CheckBox" fmlaLink="#REF!" noThreeD="1" val="0"/>
</file>

<file path=xl/ctrlProps/ctrlProp55.xml><?xml version="1.0" encoding="utf-8"?>
<formControlPr xmlns="http://schemas.microsoft.com/office/spreadsheetml/2009/9/main" objectType="CheckBox" fmlaLink="#REF!" noThreeD="1" val="0"/>
</file>

<file path=xl/ctrlProps/ctrlProp56.xml><?xml version="1.0" encoding="utf-8"?>
<formControlPr xmlns="http://schemas.microsoft.com/office/spreadsheetml/2009/9/main" objectType="CheckBox" fmlaLink="#REF!" noThreeD="1" val="0"/>
</file>

<file path=xl/ctrlProps/ctrlProp57.xml><?xml version="1.0" encoding="utf-8"?>
<formControlPr xmlns="http://schemas.microsoft.com/office/spreadsheetml/2009/9/main" objectType="CheckBox" fmlaLink="#REF!" noThreeD="1" val="0"/>
</file>

<file path=xl/ctrlProps/ctrlProp58.xml><?xml version="1.0" encoding="utf-8"?>
<formControlPr xmlns="http://schemas.microsoft.com/office/spreadsheetml/2009/9/main" objectType="CheckBox" fmlaLink="#REF!" noThreeD="1" val="0"/>
</file>

<file path=xl/ctrlProps/ctrlProp59.xml><?xml version="1.0" encoding="utf-8"?>
<formControlPr xmlns="http://schemas.microsoft.com/office/spreadsheetml/2009/9/main" objectType="CheckBox" fmlaLink="#REF!" noThreeD="1" val="0"/>
</file>

<file path=xl/ctrlProps/ctrlProp60.xml><?xml version="1.0" encoding="utf-8"?>
<formControlPr xmlns="http://schemas.microsoft.com/office/spreadsheetml/2009/9/main" objectType="CheckBox" fmlaLink="#REF!" noThreeD="1" val="0"/>
</file>

<file path=xl/ctrlProps/ctrlProp61.xml><?xml version="1.0" encoding="utf-8"?>
<formControlPr xmlns="http://schemas.microsoft.com/office/spreadsheetml/2009/9/main" objectType="CheckBox" fmlaLink="#REF!" noThreeD="1" val="0"/>
</file>

<file path=xl/ctrlProps/ctrlProp62.xml><?xml version="1.0" encoding="utf-8"?>
<formControlPr xmlns="http://schemas.microsoft.com/office/spreadsheetml/2009/9/main" objectType="CheckBox" fmlaLink="#REF!" noThreeD="1" val="0"/>
</file>

<file path=xl/ctrlProps/ctrlProp63.xml><?xml version="1.0" encoding="utf-8"?>
<formControlPr xmlns="http://schemas.microsoft.com/office/spreadsheetml/2009/9/main" objectType="CheckBox" fmlaLink="#REF!" noThreeD="1" val="0"/>
</file>

<file path=xl/ctrlProps/ctrlProp64.xml><?xml version="1.0" encoding="utf-8"?>
<formControlPr xmlns="http://schemas.microsoft.com/office/spreadsheetml/2009/9/main" objectType="CheckBox" fmlaLink="#REF!" noThreeD="1" val="0"/>
</file>

<file path=xl/ctrlProps/ctrlProp65.xml><?xml version="1.0" encoding="utf-8"?>
<formControlPr xmlns="http://schemas.microsoft.com/office/spreadsheetml/2009/9/main" objectType="CheckBox" fmlaLink="#REF!" noThreeD="1" val="0"/>
</file>

<file path=xl/ctrlProps/ctrlProp66.xml><?xml version="1.0" encoding="utf-8"?>
<formControlPr xmlns="http://schemas.microsoft.com/office/spreadsheetml/2009/9/main" objectType="CheckBox" fmlaLink="#REF!" noThreeD="1" val="0"/>
</file>

<file path=xl/ctrlProps/ctrlProp67.xml><?xml version="1.0" encoding="utf-8"?>
<formControlPr xmlns="http://schemas.microsoft.com/office/spreadsheetml/2009/9/main" objectType="CheckBox" fmlaLink="#REF!" noThreeD="1" val="0"/>
</file>

<file path=xl/ctrlProps/ctrlProp68.xml><?xml version="1.0" encoding="utf-8"?>
<formControlPr xmlns="http://schemas.microsoft.com/office/spreadsheetml/2009/9/main" objectType="CheckBox" fmlaLink="#REF!" noThreeD="1" val="0"/>
</file>

<file path=xl/ctrlProps/ctrlProp69.xml><?xml version="1.0" encoding="utf-8"?>
<formControlPr xmlns="http://schemas.microsoft.com/office/spreadsheetml/2009/9/main" objectType="CheckBox" fmlaLink="#REF!" noThreeD="1" val="0"/>
</file>

<file path=xl/ctrlProps/ctrlProp70.xml><?xml version="1.0" encoding="utf-8"?>
<formControlPr xmlns="http://schemas.microsoft.com/office/spreadsheetml/2009/9/main" objectType="CheckBox" fmlaLink="#REF!" noThreeD="1" val="0"/>
</file>

<file path=xl/ctrlProps/ctrlProp71.xml><?xml version="1.0" encoding="utf-8"?>
<formControlPr xmlns="http://schemas.microsoft.com/office/spreadsheetml/2009/9/main" objectType="CheckBox" fmlaLink="#REF!" noThreeD="1" val="0"/>
</file>

<file path=xl/ctrlProps/ctrlProp72.xml><?xml version="1.0" encoding="utf-8"?>
<formControlPr xmlns="http://schemas.microsoft.com/office/spreadsheetml/2009/9/main" objectType="CheckBox" fmlaLink="#REF!" noThreeD="1" val="0"/>
</file>

<file path=xl/ctrlProps/ctrlProp73.xml><?xml version="1.0" encoding="utf-8"?>
<formControlPr xmlns="http://schemas.microsoft.com/office/spreadsheetml/2009/9/main" objectType="CheckBox" fmlaLink="#REF!" noThreeD="1" val="0"/>
</file>

<file path=xl/ctrlProps/ctrlProp74.xml><?xml version="1.0" encoding="utf-8"?>
<formControlPr xmlns="http://schemas.microsoft.com/office/spreadsheetml/2009/9/main" objectType="CheckBox" fmlaLink="#REF!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127000</xdr:colOff>
          <xdr:row>6</xdr:row>
          <xdr:rowOff>19050</xdr:rowOff>
        </xdr:from>
        <xdr:to>
          <xdr:col>21</xdr:col>
          <xdr:colOff>50800</xdr:colOff>
          <xdr:row>8</xdr:row>
          <xdr:rowOff>19050</xdr:rowOff>
        </xdr:to>
        <xdr:sp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2755900" y="730250"/>
              <a:ext cx="228600" cy="20320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127000</xdr:colOff>
          <xdr:row>7</xdr:row>
          <xdr:rowOff>127000</xdr:rowOff>
        </xdr:from>
        <xdr:to>
          <xdr:col>21</xdr:col>
          <xdr:colOff>50800</xdr:colOff>
          <xdr:row>9</xdr:row>
          <xdr:rowOff>19050</xdr:rowOff>
        </xdr:to>
        <xdr:sp>
          <xdr:nvSpPr>
            <xdr:cNvPr id="2050" name="Check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2755900" y="889000"/>
              <a:ext cx="228600" cy="1968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127000</xdr:colOff>
          <xdr:row>8</xdr:row>
          <xdr:rowOff>127000</xdr:rowOff>
        </xdr:from>
        <xdr:to>
          <xdr:col>21</xdr:col>
          <xdr:colOff>50800</xdr:colOff>
          <xdr:row>10</xdr:row>
          <xdr:rowOff>19050</xdr:rowOff>
        </xdr:to>
        <xdr:sp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2755900" y="1041400"/>
              <a:ext cx="228600" cy="1968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127000</xdr:colOff>
          <xdr:row>9</xdr:row>
          <xdr:rowOff>127000</xdr:rowOff>
        </xdr:from>
        <xdr:to>
          <xdr:col>21</xdr:col>
          <xdr:colOff>50800</xdr:colOff>
          <xdr:row>11</xdr:row>
          <xdr:rowOff>19050</xdr:rowOff>
        </xdr:to>
        <xdr:sp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2755900" y="1193800"/>
              <a:ext cx="228600" cy="1968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133350</xdr:colOff>
          <xdr:row>4</xdr:row>
          <xdr:rowOff>12700</xdr:rowOff>
        </xdr:from>
        <xdr:to>
          <xdr:col>27</xdr:col>
          <xdr:colOff>88900</xdr:colOff>
          <xdr:row>6</xdr:row>
          <xdr:rowOff>31750</xdr:rowOff>
        </xdr:to>
        <xdr:sp>
          <xdr:nvSpPr>
            <xdr:cNvPr id="3073" name="Check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3822700" y="520700"/>
              <a:ext cx="2730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133350</xdr:colOff>
          <xdr:row>6</xdr:row>
          <xdr:rowOff>12700</xdr:rowOff>
        </xdr:from>
        <xdr:to>
          <xdr:col>27</xdr:col>
          <xdr:colOff>88900</xdr:colOff>
          <xdr:row>8</xdr:row>
          <xdr:rowOff>31750</xdr:rowOff>
        </xdr:to>
        <xdr:sp>
          <xdr:nvSpPr>
            <xdr:cNvPr id="3074" name="Check Box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3822700" y="723900"/>
              <a:ext cx="2730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133350</xdr:colOff>
          <xdr:row>13</xdr:row>
          <xdr:rowOff>127000</xdr:rowOff>
        </xdr:from>
        <xdr:to>
          <xdr:col>23</xdr:col>
          <xdr:colOff>88900</xdr:colOff>
          <xdr:row>15</xdr:row>
          <xdr:rowOff>31750</xdr:rowOff>
        </xdr:to>
        <xdr:sp>
          <xdr:nvSpPr>
            <xdr:cNvPr id="3075" name="Check Box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3187700" y="14986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133350</xdr:colOff>
          <xdr:row>13</xdr:row>
          <xdr:rowOff>127000</xdr:rowOff>
        </xdr:from>
        <xdr:to>
          <xdr:col>28</xdr:col>
          <xdr:colOff>88900</xdr:colOff>
          <xdr:row>15</xdr:row>
          <xdr:rowOff>31750</xdr:rowOff>
        </xdr:to>
        <xdr:sp>
          <xdr:nvSpPr>
            <xdr:cNvPr id="3076" name="Check Box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3981450" y="14986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133350</xdr:colOff>
          <xdr:row>14</xdr:row>
          <xdr:rowOff>127000</xdr:rowOff>
        </xdr:from>
        <xdr:to>
          <xdr:col>23</xdr:col>
          <xdr:colOff>88900</xdr:colOff>
          <xdr:row>16</xdr:row>
          <xdr:rowOff>31750</xdr:rowOff>
        </xdr:to>
        <xdr:sp>
          <xdr:nvSpPr>
            <xdr:cNvPr id="3077" name="Check Box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3187700" y="16510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133350</xdr:colOff>
          <xdr:row>14</xdr:row>
          <xdr:rowOff>127000</xdr:rowOff>
        </xdr:from>
        <xdr:to>
          <xdr:col>28</xdr:col>
          <xdr:colOff>88900</xdr:colOff>
          <xdr:row>16</xdr:row>
          <xdr:rowOff>31750</xdr:rowOff>
        </xdr:to>
        <xdr:sp>
          <xdr:nvSpPr>
            <xdr:cNvPr id="3078" name="Check Box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3981450" y="16510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133350</xdr:colOff>
          <xdr:row>15</xdr:row>
          <xdr:rowOff>133350</xdr:rowOff>
        </xdr:from>
        <xdr:to>
          <xdr:col>23</xdr:col>
          <xdr:colOff>88900</xdr:colOff>
          <xdr:row>17</xdr:row>
          <xdr:rowOff>38100</xdr:rowOff>
        </xdr:to>
        <xdr:sp>
          <xdr:nvSpPr>
            <xdr:cNvPr id="3079" name="Check Box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3187700" y="180975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133350</xdr:colOff>
          <xdr:row>15</xdr:row>
          <xdr:rowOff>127000</xdr:rowOff>
        </xdr:from>
        <xdr:to>
          <xdr:col>28</xdr:col>
          <xdr:colOff>88900</xdr:colOff>
          <xdr:row>17</xdr:row>
          <xdr:rowOff>31750</xdr:rowOff>
        </xdr:to>
        <xdr:sp>
          <xdr:nvSpPr>
            <xdr:cNvPr id="3080" name="Check Box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>
            <a:xfrm>
              <a:off x="3981450" y="18034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133350</xdr:colOff>
          <xdr:row>16</xdr:row>
          <xdr:rowOff>127000</xdr:rowOff>
        </xdr:from>
        <xdr:to>
          <xdr:col>23</xdr:col>
          <xdr:colOff>88900</xdr:colOff>
          <xdr:row>18</xdr:row>
          <xdr:rowOff>31750</xdr:rowOff>
        </xdr:to>
        <xdr:sp>
          <xdr:nvSpPr>
            <xdr:cNvPr id="3081" name="Check Box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3187700" y="19558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133350</xdr:colOff>
          <xdr:row>16</xdr:row>
          <xdr:rowOff>127000</xdr:rowOff>
        </xdr:from>
        <xdr:to>
          <xdr:col>28</xdr:col>
          <xdr:colOff>88900</xdr:colOff>
          <xdr:row>18</xdr:row>
          <xdr:rowOff>31750</xdr:rowOff>
        </xdr:to>
        <xdr:sp>
          <xdr:nvSpPr>
            <xdr:cNvPr id="3082" name="Check Box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>
            <a:xfrm>
              <a:off x="3981450" y="19558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133350</xdr:colOff>
          <xdr:row>17</xdr:row>
          <xdr:rowOff>127000</xdr:rowOff>
        </xdr:from>
        <xdr:to>
          <xdr:col>23</xdr:col>
          <xdr:colOff>88900</xdr:colOff>
          <xdr:row>19</xdr:row>
          <xdr:rowOff>31750</xdr:rowOff>
        </xdr:to>
        <xdr:sp>
          <xdr:nvSpPr>
            <xdr:cNvPr id="3083" name="Check Box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>
            <a:xfrm>
              <a:off x="3187700" y="21082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133350</xdr:colOff>
          <xdr:row>17</xdr:row>
          <xdr:rowOff>127000</xdr:rowOff>
        </xdr:from>
        <xdr:to>
          <xdr:col>28</xdr:col>
          <xdr:colOff>88900</xdr:colOff>
          <xdr:row>19</xdr:row>
          <xdr:rowOff>31750</xdr:rowOff>
        </xdr:to>
        <xdr:sp>
          <xdr:nvSpPr>
            <xdr:cNvPr id="3084" name="Check Box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>
            <a:xfrm>
              <a:off x="3981450" y="21082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133350</xdr:colOff>
          <xdr:row>18</xdr:row>
          <xdr:rowOff>127000</xdr:rowOff>
        </xdr:from>
        <xdr:to>
          <xdr:col>23</xdr:col>
          <xdr:colOff>88900</xdr:colOff>
          <xdr:row>20</xdr:row>
          <xdr:rowOff>31750</xdr:rowOff>
        </xdr:to>
        <xdr:sp>
          <xdr:nvSpPr>
            <xdr:cNvPr id="3085" name="Check Box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>
            <a:xfrm>
              <a:off x="3187700" y="22606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133350</xdr:colOff>
          <xdr:row>18</xdr:row>
          <xdr:rowOff>127000</xdr:rowOff>
        </xdr:from>
        <xdr:to>
          <xdr:col>28</xdr:col>
          <xdr:colOff>88900</xdr:colOff>
          <xdr:row>20</xdr:row>
          <xdr:rowOff>31750</xdr:rowOff>
        </xdr:to>
        <xdr:sp>
          <xdr:nvSpPr>
            <xdr:cNvPr id="3086" name="Check Box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3981450" y="22606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133350</xdr:colOff>
          <xdr:row>19</xdr:row>
          <xdr:rowOff>127000</xdr:rowOff>
        </xdr:from>
        <xdr:to>
          <xdr:col>23</xdr:col>
          <xdr:colOff>88900</xdr:colOff>
          <xdr:row>21</xdr:row>
          <xdr:rowOff>31750</xdr:rowOff>
        </xdr:to>
        <xdr:sp>
          <xdr:nvSpPr>
            <xdr:cNvPr id="3087" name="Check Box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>
            <a:xfrm>
              <a:off x="3187700" y="24130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133350</xdr:colOff>
          <xdr:row>19</xdr:row>
          <xdr:rowOff>127000</xdr:rowOff>
        </xdr:from>
        <xdr:to>
          <xdr:col>28</xdr:col>
          <xdr:colOff>88900</xdr:colOff>
          <xdr:row>21</xdr:row>
          <xdr:rowOff>31750</xdr:rowOff>
        </xdr:to>
        <xdr:sp>
          <xdr:nvSpPr>
            <xdr:cNvPr id="3088" name="Check Box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>
            <a:xfrm>
              <a:off x="3981450" y="24130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133350</xdr:colOff>
          <xdr:row>20</xdr:row>
          <xdr:rowOff>127000</xdr:rowOff>
        </xdr:from>
        <xdr:to>
          <xdr:col>23</xdr:col>
          <xdr:colOff>88900</xdr:colOff>
          <xdr:row>22</xdr:row>
          <xdr:rowOff>31750</xdr:rowOff>
        </xdr:to>
        <xdr:sp>
          <xdr:nvSpPr>
            <xdr:cNvPr id="3089" name="Check Box 17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>
            <a:xfrm>
              <a:off x="3187700" y="25654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133350</xdr:colOff>
          <xdr:row>20</xdr:row>
          <xdr:rowOff>127000</xdr:rowOff>
        </xdr:from>
        <xdr:to>
          <xdr:col>28</xdr:col>
          <xdr:colOff>88900</xdr:colOff>
          <xdr:row>22</xdr:row>
          <xdr:rowOff>31750</xdr:rowOff>
        </xdr:to>
        <xdr:sp>
          <xdr:nvSpPr>
            <xdr:cNvPr id="3090" name="Check Box 18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>
            <a:xfrm>
              <a:off x="3981450" y="25654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133350</xdr:colOff>
          <xdr:row>21</xdr:row>
          <xdr:rowOff>127000</xdr:rowOff>
        </xdr:from>
        <xdr:to>
          <xdr:col>23</xdr:col>
          <xdr:colOff>88900</xdr:colOff>
          <xdr:row>23</xdr:row>
          <xdr:rowOff>31750</xdr:rowOff>
        </xdr:to>
        <xdr:sp>
          <xdr:nvSpPr>
            <xdr:cNvPr id="3091" name="Check Box 19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>
            <a:xfrm>
              <a:off x="3187700" y="27178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133350</xdr:colOff>
          <xdr:row>21</xdr:row>
          <xdr:rowOff>127000</xdr:rowOff>
        </xdr:from>
        <xdr:to>
          <xdr:col>28</xdr:col>
          <xdr:colOff>88900</xdr:colOff>
          <xdr:row>23</xdr:row>
          <xdr:rowOff>31750</xdr:rowOff>
        </xdr:to>
        <xdr:sp>
          <xdr:nvSpPr>
            <xdr:cNvPr id="3092" name="Check Box 20" hidden="1">
              <a:extLst>
                <a:ext uri="{63B3BB69-23CF-44E3-9099-C40C66FF867C}">
                  <a14:compatExt spid="_x0000_s3092"/>
                </a:ext>
              </a:extLst>
            </xdr:cNvPr>
            <xdr:cNvSpPr/>
          </xdr:nvSpPr>
          <xdr:spPr>
            <a:xfrm>
              <a:off x="3981450" y="2717800"/>
              <a:ext cx="2730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127000</xdr:colOff>
          <xdr:row>32</xdr:row>
          <xdr:rowOff>12700</xdr:rowOff>
        </xdr:from>
        <xdr:to>
          <xdr:col>26</xdr:col>
          <xdr:colOff>88900</xdr:colOff>
          <xdr:row>34</xdr:row>
          <xdr:rowOff>19050</xdr:rowOff>
        </xdr:to>
        <xdr:sp>
          <xdr:nvSpPr>
            <xdr:cNvPr id="3093" name="Check Box 21" hidden="1">
              <a:extLst>
                <a:ext uri="{63B3BB69-23CF-44E3-9099-C40C66FF867C}">
                  <a14:compatExt spid="_x0000_s3093"/>
                </a:ext>
              </a:extLst>
            </xdr:cNvPr>
            <xdr:cNvSpPr/>
          </xdr:nvSpPr>
          <xdr:spPr>
            <a:xfrm>
              <a:off x="3657600" y="3873500"/>
              <a:ext cx="2794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127000</xdr:colOff>
          <xdr:row>33</xdr:row>
          <xdr:rowOff>114300</xdr:rowOff>
        </xdr:from>
        <xdr:to>
          <xdr:col>26</xdr:col>
          <xdr:colOff>88900</xdr:colOff>
          <xdr:row>35</xdr:row>
          <xdr:rowOff>19050</xdr:rowOff>
        </xdr:to>
        <xdr:sp>
          <xdr:nvSpPr>
            <xdr:cNvPr id="3094" name="Check Box 22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>
            <a:xfrm>
              <a:off x="3657600" y="4025900"/>
              <a:ext cx="2794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127000</xdr:colOff>
          <xdr:row>34</xdr:row>
          <xdr:rowOff>114300</xdr:rowOff>
        </xdr:from>
        <xdr:to>
          <xdr:col>26</xdr:col>
          <xdr:colOff>88900</xdr:colOff>
          <xdr:row>36</xdr:row>
          <xdr:rowOff>19050</xdr:rowOff>
        </xdr:to>
        <xdr:sp>
          <xdr:nvSpPr>
            <xdr:cNvPr id="3095" name="Check Box 23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>
            <a:xfrm>
              <a:off x="3657600" y="4178300"/>
              <a:ext cx="2794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127000</xdr:colOff>
          <xdr:row>35</xdr:row>
          <xdr:rowOff>114300</xdr:rowOff>
        </xdr:from>
        <xdr:to>
          <xdr:col>26</xdr:col>
          <xdr:colOff>88900</xdr:colOff>
          <xdr:row>37</xdr:row>
          <xdr:rowOff>31750</xdr:rowOff>
        </xdr:to>
        <xdr:sp>
          <xdr:nvSpPr>
            <xdr:cNvPr id="3096" name="Check Box 24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>
            <a:xfrm>
              <a:off x="3657600" y="4330700"/>
              <a:ext cx="27940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127000</xdr:colOff>
          <xdr:row>37</xdr:row>
          <xdr:rowOff>12700</xdr:rowOff>
        </xdr:from>
        <xdr:to>
          <xdr:col>26</xdr:col>
          <xdr:colOff>88900</xdr:colOff>
          <xdr:row>39</xdr:row>
          <xdr:rowOff>31750</xdr:rowOff>
        </xdr:to>
        <xdr:sp>
          <xdr:nvSpPr>
            <xdr:cNvPr id="3097" name="Check Box 25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>
            <a:xfrm>
              <a:off x="3657600" y="4533900"/>
              <a:ext cx="27940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133350</xdr:colOff>
          <xdr:row>4</xdr:row>
          <xdr:rowOff>12700</xdr:rowOff>
        </xdr:from>
        <xdr:to>
          <xdr:col>21</xdr:col>
          <xdr:colOff>50800</xdr:colOff>
          <xdr:row>6</xdr:row>
          <xdr:rowOff>31750</xdr:rowOff>
        </xdr:to>
        <xdr:sp>
          <xdr:nvSpPr>
            <xdr:cNvPr id="4097" name="Check Box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2832100" y="520700"/>
              <a:ext cx="2349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146050</xdr:colOff>
          <xdr:row>32</xdr:row>
          <xdr:rowOff>114300</xdr:rowOff>
        </xdr:from>
        <xdr:to>
          <xdr:col>36</xdr:col>
          <xdr:colOff>57150</xdr:colOff>
          <xdr:row>34</xdr:row>
          <xdr:rowOff>31750</xdr:rowOff>
        </xdr:to>
        <xdr:sp>
          <xdr:nvSpPr>
            <xdr:cNvPr id="4098" name="Check Box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5226050" y="3771900"/>
              <a:ext cx="22860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152400</xdr:colOff>
          <xdr:row>11</xdr:row>
          <xdr:rowOff>19050</xdr:rowOff>
        </xdr:from>
        <xdr:to>
          <xdr:col>22</xdr:col>
          <xdr:colOff>69850</xdr:colOff>
          <xdr:row>13</xdr:row>
          <xdr:rowOff>31750</xdr:rowOff>
        </xdr:to>
        <xdr:sp>
          <xdr:nvSpPr>
            <xdr:cNvPr id="5121" name="Check Box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3035300" y="1390650"/>
              <a:ext cx="247650" cy="21590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133350</xdr:colOff>
          <xdr:row>25</xdr:row>
          <xdr:rowOff>114300</xdr:rowOff>
        </xdr:from>
        <xdr:to>
          <xdr:col>45</xdr:col>
          <xdr:colOff>50800</xdr:colOff>
          <xdr:row>27</xdr:row>
          <xdr:rowOff>19050</xdr:rowOff>
        </xdr:to>
        <xdr:sp>
          <xdr:nvSpPr>
            <xdr:cNvPr id="5122" name="Check Box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6769100" y="3060700"/>
              <a:ext cx="234950" cy="2095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133350</xdr:colOff>
          <xdr:row>26</xdr:row>
          <xdr:rowOff>114300</xdr:rowOff>
        </xdr:from>
        <xdr:to>
          <xdr:col>45</xdr:col>
          <xdr:colOff>50800</xdr:colOff>
          <xdr:row>28</xdr:row>
          <xdr:rowOff>31750</xdr:rowOff>
        </xdr:to>
        <xdr:sp>
          <xdr:nvSpPr>
            <xdr:cNvPr id="5123" name="Check Box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>
            <a:xfrm>
              <a:off x="6769100" y="3213100"/>
              <a:ext cx="234950" cy="2222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146050</xdr:colOff>
          <xdr:row>29</xdr:row>
          <xdr:rowOff>114300</xdr:rowOff>
        </xdr:from>
        <xdr:to>
          <xdr:col>45</xdr:col>
          <xdr:colOff>57150</xdr:colOff>
          <xdr:row>31</xdr:row>
          <xdr:rowOff>19050</xdr:rowOff>
        </xdr:to>
        <xdr:sp>
          <xdr:nvSpPr>
            <xdr:cNvPr id="5124" name="Check Box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6781800" y="3568700"/>
              <a:ext cx="228600" cy="2095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146050</xdr:colOff>
          <xdr:row>30</xdr:row>
          <xdr:rowOff>114300</xdr:rowOff>
        </xdr:from>
        <xdr:to>
          <xdr:col>45</xdr:col>
          <xdr:colOff>57150</xdr:colOff>
          <xdr:row>32</xdr:row>
          <xdr:rowOff>31750</xdr:rowOff>
        </xdr:to>
        <xdr:sp>
          <xdr:nvSpPr>
            <xdr:cNvPr id="5125" name="Check Box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6781800" y="3721100"/>
              <a:ext cx="228600" cy="2222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133350</xdr:colOff>
          <xdr:row>4</xdr:row>
          <xdr:rowOff>12700</xdr:rowOff>
        </xdr:from>
        <xdr:to>
          <xdr:col>26</xdr:col>
          <xdr:colOff>12700</xdr:colOff>
          <xdr:row>6</xdr:row>
          <xdr:rowOff>31750</xdr:rowOff>
        </xdr:to>
        <xdr:sp>
          <xdr:nvSpPr>
            <xdr:cNvPr id="6145" name="Check Box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3663950" y="520700"/>
              <a:ext cx="1968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133350</xdr:colOff>
          <xdr:row>7</xdr:row>
          <xdr:rowOff>114300</xdr:rowOff>
        </xdr:from>
        <xdr:to>
          <xdr:col>26</xdr:col>
          <xdr:colOff>12700</xdr:colOff>
          <xdr:row>9</xdr:row>
          <xdr:rowOff>19050</xdr:rowOff>
        </xdr:to>
        <xdr:sp>
          <xdr:nvSpPr>
            <xdr:cNvPr id="6146" name="Check Box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>
            <a:xfrm>
              <a:off x="3663950" y="876300"/>
              <a:ext cx="1968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133350</xdr:colOff>
          <xdr:row>8</xdr:row>
          <xdr:rowOff>114300</xdr:rowOff>
        </xdr:from>
        <xdr:to>
          <xdr:col>26</xdr:col>
          <xdr:colOff>12700</xdr:colOff>
          <xdr:row>10</xdr:row>
          <xdr:rowOff>19050</xdr:rowOff>
        </xdr:to>
        <xdr:sp>
          <xdr:nvSpPr>
            <xdr:cNvPr id="6147" name="Check Box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>
            <a:xfrm>
              <a:off x="3663950" y="1028700"/>
              <a:ext cx="1968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133350</xdr:colOff>
          <xdr:row>9</xdr:row>
          <xdr:rowOff>114300</xdr:rowOff>
        </xdr:from>
        <xdr:to>
          <xdr:col>26</xdr:col>
          <xdr:colOff>12700</xdr:colOff>
          <xdr:row>11</xdr:row>
          <xdr:rowOff>31750</xdr:rowOff>
        </xdr:to>
        <xdr:sp>
          <xdr:nvSpPr>
            <xdr:cNvPr id="6148" name="Check Box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>
            <a:xfrm>
              <a:off x="3663950" y="1181100"/>
              <a:ext cx="1968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146050</xdr:colOff>
          <xdr:row>26</xdr:row>
          <xdr:rowOff>127000</xdr:rowOff>
        </xdr:from>
        <xdr:to>
          <xdr:col>23</xdr:col>
          <xdr:colOff>12700</xdr:colOff>
          <xdr:row>28</xdr:row>
          <xdr:rowOff>31750</xdr:rowOff>
        </xdr:to>
        <xdr:sp>
          <xdr:nvSpPr>
            <xdr:cNvPr id="6149" name="Check Box 5" hidden="1">
              <a:extLst>
                <a:ext uri="{63B3BB69-23CF-44E3-9099-C40C66FF867C}">
                  <a14:compatExt spid="_x0000_s6149"/>
                </a:ext>
              </a:extLst>
            </xdr:cNvPr>
            <xdr:cNvSpPr/>
          </xdr:nvSpPr>
          <xdr:spPr>
            <a:xfrm>
              <a:off x="3200400" y="3175000"/>
              <a:ext cx="1841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146050</xdr:colOff>
          <xdr:row>27</xdr:row>
          <xdr:rowOff>127000</xdr:rowOff>
        </xdr:from>
        <xdr:to>
          <xdr:col>23</xdr:col>
          <xdr:colOff>12700</xdr:colOff>
          <xdr:row>29</xdr:row>
          <xdr:rowOff>31750</xdr:rowOff>
        </xdr:to>
        <xdr:sp>
          <xdr:nvSpPr>
            <xdr:cNvPr id="6150" name="Check Box 6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3200400" y="3327400"/>
              <a:ext cx="1841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146050</xdr:colOff>
          <xdr:row>30</xdr:row>
          <xdr:rowOff>19050</xdr:rowOff>
        </xdr:from>
        <xdr:to>
          <xdr:col>23</xdr:col>
          <xdr:colOff>12700</xdr:colOff>
          <xdr:row>32</xdr:row>
          <xdr:rowOff>31750</xdr:rowOff>
        </xdr:to>
        <xdr:sp>
          <xdr:nvSpPr>
            <xdr:cNvPr id="6151" name="Check Box 7" hidden="1">
              <a:extLst>
                <a:ext uri="{63B3BB69-23CF-44E3-9099-C40C66FF867C}">
                  <a14:compatExt spid="_x0000_s6151"/>
                </a:ext>
              </a:extLst>
            </xdr:cNvPr>
            <xdr:cNvSpPr/>
          </xdr:nvSpPr>
          <xdr:spPr>
            <a:xfrm>
              <a:off x="3200400" y="3676650"/>
              <a:ext cx="184150" cy="215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146050</xdr:colOff>
          <xdr:row>32</xdr:row>
          <xdr:rowOff>19050</xdr:rowOff>
        </xdr:from>
        <xdr:to>
          <xdr:col>23</xdr:col>
          <xdr:colOff>12700</xdr:colOff>
          <xdr:row>34</xdr:row>
          <xdr:rowOff>31750</xdr:rowOff>
        </xdr:to>
        <xdr:sp>
          <xdr:nvSpPr>
            <xdr:cNvPr id="6152" name="Check Box 8" hidden="1">
              <a:extLst>
                <a:ext uri="{63B3BB69-23CF-44E3-9099-C40C66FF867C}">
                  <a14:compatExt spid="_x0000_s6152"/>
                </a:ext>
              </a:extLst>
            </xdr:cNvPr>
            <xdr:cNvSpPr/>
          </xdr:nvSpPr>
          <xdr:spPr>
            <a:xfrm>
              <a:off x="3200400" y="3879850"/>
              <a:ext cx="184150" cy="215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146050</xdr:colOff>
          <xdr:row>34</xdr:row>
          <xdr:rowOff>19050</xdr:rowOff>
        </xdr:from>
        <xdr:to>
          <xdr:col>23</xdr:col>
          <xdr:colOff>12700</xdr:colOff>
          <xdr:row>36</xdr:row>
          <xdr:rowOff>31750</xdr:rowOff>
        </xdr:to>
        <xdr:sp>
          <xdr:nvSpPr>
            <xdr:cNvPr id="6153" name="Check Box 9" hidden="1">
              <a:extLst>
                <a:ext uri="{63B3BB69-23CF-44E3-9099-C40C66FF867C}">
                  <a14:compatExt spid="_x0000_s6153"/>
                </a:ext>
              </a:extLst>
            </xdr:cNvPr>
            <xdr:cNvSpPr/>
          </xdr:nvSpPr>
          <xdr:spPr>
            <a:xfrm>
              <a:off x="3200400" y="4083050"/>
              <a:ext cx="184150" cy="215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127000</xdr:colOff>
          <xdr:row>44</xdr:row>
          <xdr:rowOff>114300</xdr:rowOff>
        </xdr:from>
        <xdr:to>
          <xdr:col>20</xdr:col>
          <xdr:colOff>0</xdr:colOff>
          <xdr:row>46</xdr:row>
          <xdr:rowOff>19050</xdr:rowOff>
        </xdr:to>
        <xdr:sp>
          <xdr:nvSpPr>
            <xdr:cNvPr id="6154" name="Check Box 10" hidden="1">
              <a:extLst>
                <a:ext uri="{63B3BB69-23CF-44E3-9099-C40C66FF867C}">
                  <a14:compatExt spid="_x0000_s6154"/>
                </a:ext>
              </a:extLst>
            </xdr:cNvPr>
            <xdr:cNvSpPr/>
          </xdr:nvSpPr>
          <xdr:spPr>
            <a:xfrm>
              <a:off x="2705100" y="5194300"/>
              <a:ext cx="1905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127000</xdr:colOff>
          <xdr:row>45</xdr:row>
          <xdr:rowOff>114300</xdr:rowOff>
        </xdr:from>
        <xdr:to>
          <xdr:col>20</xdr:col>
          <xdr:colOff>0</xdr:colOff>
          <xdr:row>47</xdr:row>
          <xdr:rowOff>19050</xdr:rowOff>
        </xdr:to>
        <xdr:sp>
          <xdr:nvSpPr>
            <xdr:cNvPr id="6155" name="Check Box 11" hidden="1">
              <a:extLst>
                <a:ext uri="{63B3BB69-23CF-44E3-9099-C40C66FF867C}">
                  <a14:compatExt spid="_x0000_s6155"/>
                </a:ext>
              </a:extLst>
            </xdr:cNvPr>
            <xdr:cNvSpPr/>
          </xdr:nvSpPr>
          <xdr:spPr>
            <a:xfrm>
              <a:off x="2705100" y="5346700"/>
              <a:ext cx="1905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127000</xdr:colOff>
          <xdr:row>46</xdr:row>
          <xdr:rowOff>114300</xdr:rowOff>
        </xdr:from>
        <xdr:to>
          <xdr:col>20</xdr:col>
          <xdr:colOff>0</xdr:colOff>
          <xdr:row>48</xdr:row>
          <xdr:rowOff>19050</xdr:rowOff>
        </xdr:to>
        <xdr:sp>
          <xdr:nvSpPr>
            <xdr:cNvPr id="6156" name="Check Box 12" hidden="1">
              <a:extLst>
                <a:ext uri="{63B3BB69-23CF-44E3-9099-C40C66FF867C}">
                  <a14:compatExt spid="_x0000_s6156"/>
                </a:ext>
              </a:extLst>
            </xdr:cNvPr>
            <xdr:cNvSpPr/>
          </xdr:nvSpPr>
          <xdr:spPr>
            <a:xfrm>
              <a:off x="2705100" y="5499100"/>
              <a:ext cx="1905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127000</xdr:colOff>
          <xdr:row>47</xdr:row>
          <xdr:rowOff>114300</xdr:rowOff>
        </xdr:from>
        <xdr:to>
          <xdr:col>20</xdr:col>
          <xdr:colOff>0</xdr:colOff>
          <xdr:row>49</xdr:row>
          <xdr:rowOff>19050</xdr:rowOff>
        </xdr:to>
        <xdr:sp>
          <xdr:nvSpPr>
            <xdr:cNvPr id="6157" name="Check Box 13" hidden="1">
              <a:extLst>
                <a:ext uri="{63B3BB69-23CF-44E3-9099-C40C66FF867C}">
                  <a14:compatExt spid="_x0000_s6157"/>
                </a:ext>
              </a:extLst>
            </xdr:cNvPr>
            <xdr:cNvSpPr/>
          </xdr:nvSpPr>
          <xdr:spPr>
            <a:xfrm>
              <a:off x="2705100" y="5651500"/>
              <a:ext cx="1905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127000</xdr:colOff>
          <xdr:row>48</xdr:row>
          <xdr:rowOff>114300</xdr:rowOff>
        </xdr:from>
        <xdr:to>
          <xdr:col>20</xdr:col>
          <xdr:colOff>0</xdr:colOff>
          <xdr:row>50</xdr:row>
          <xdr:rowOff>19050</xdr:rowOff>
        </xdr:to>
        <xdr:sp>
          <xdr:nvSpPr>
            <xdr:cNvPr id="6158" name="Check Box 14" hidden="1">
              <a:extLst>
                <a:ext uri="{63B3BB69-23CF-44E3-9099-C40C66FF867C}">
                  <a14:compatExt spid="_x0000_s6158"/>
                </a:ext>
              </a:extLst>
            </xdr:cNvPr>
            <xdr:cNvSpPr/>
          </xdr:nvSpPr>
          <xdr:spPr>
            <a:xfrm>
              <a:off x="2705100" y="5803900"/>
              <a:ext cx="1905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127000</xdr:colOff>
          <xdr:row>49</xdr:row>
          <xdr:rowOff>114300</xdr:rowOff>
        </xdr:from>
        <xdr:to>
          <xdr:col>20</xdr:col>
          <xdr:colOff>0</xdr:colOff>
          <xdr:row>51</xdr:row>
          <xdr:rowOff>19050</xdr:rowOff>
        </xdr:to>
        <xdr:sp>
          <xdr:nvSpPr>
            <xdr:cNvPr id="6159" name="Check Box 15" hidden="1">
              <a:extLst>
                <a:ext uri="{63B3BB69-23CF-44E3-9099-C40C66FF867C}">
                  <a14:compatExt spid="_x0000_s6159"/>
                </a:ext>
              </a:extLst>
            </xdr:cNvPr>
            <xdr:cNvSpPr/>
          </xdr:nvSpPr>
          <xdr:spPr>
            <a:xfrm>
              <a:off x="2705100" y="5956300"/>
              <a:ext cx="1905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127000</xdr:colOff>
          <xdr:row>50</xdr:row>
          <xdr:rowOff>114300</xdr:rowOff>
        </xdr:from>
        <xdr:to>
          <xdr:col>20</xdr:col>
          <xdr:colOff>0</xdr:colOff>
          <xdr:row>52</xdr:row>
          <xdr:rowOff>19050</xdr:rowOff>
        </xdr:to>
        <xdr:sp>
          <xdr:nvSpPr>
            <xdr:cNvPr id="6160" name="Check Box 16" hidden="1">
              <a:extLst>
                <a:ext uri="{63B3BB69-23CF-44E3-9099-C40C66FF867C}">
                  <a14:compatExt spid="_x0000_s6160"/>
                </a:ext>
              </a:extLst>
            </xdr:cNvPr>
            <xdr:cNvSpPr/>
          </xdr:nvSpPr>
          <xdr:spPr>
            <a:xfrm>
              <a:off x="2705100" y="6108700"/>
              <a:ext cx="1905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127000</xdr:colOff>
          <xdr:row>53</xdr:row>
          <xdr:rowOff>114300</xdr:rowOff>
        </xdr:from>
        <xdr:to>
          <xdr:col>20</xdr:col>
          <xdr:colOff>0</xdr:colOff>
          <xdr:row>55</xdr:row>
          <xdr:rowOff>19050</xdr:rowOff>
        </xdr:to>
        <xdr:sp>
          <xdr:nvSpPr>
            <xdr:cNvPr id="6161" name="Check Box 17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>
            <a:xfrm>
              <a:off x="2705100" y="6565900"/>
              <a:ext cx="1905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127000</xdr:colOff>
          <xdr:row>54</xdr:row>
          <xdr:rowOff>114300</xdr:rowOff>
        </xdr:from>
        <xdr:to>
          <xdr:col>20</xdr:col>
          <xdr:colOff>0</xdr:colOff>
          <xdr:row>56</xdr:row>
          <xdr:rowOff>19050</xdr:rowOff>
        </xdr:to>
        <xdr:sp>
          <xdr:nvSpPr>
            <xdr:cNvPr id="6162" name="Check Box 18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>
            <a:xfrm>
              <a:off x="2705100" y="6718300"/>
              <a:ext cx="1905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127000</xdr:colOff>
          <xdr:row>55</xdr:row>
          <xdr:rowOff>114300</xdr:rowOff>
        </xdr:from>
        <xdr:to>
          <xdr:col>20</xdr:col>
          <xdr:colOff>0</xdr:colOff>
          <xdr:row>57</xdr:row>
          <xdr:rowOff>19050</xdr:rowOff>
        </xdr:to>
        <xdr:sp>
          <xdr:nvSpPr>
            <xdr:cNvPr id="6163" name="Check Box 19" hidden="1">
              <a:extLst>
                <a:ext uri="{63B3BB69-23CF-44E3-9099-C40C66FF867C}">
                  <a14:compatExt spid="_x0000_s6163"/>
                </a:ext>
              </a:extLst>
            </xdr:cNvPr>
            <xdr:cNvSpPr/>
          </xdr:nvSpPr>
          <xdr:spPr>
            <a:xfrm>
              <a:off x="2705100" y="6870700"/>
              <a:ext cx="1905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127000</xdr:colOff>
          <xdr:row>56</xdr:row>
          <xdr:rowOff>114300</xdr:rowOff>
        </xdr:from>
        <xdr:to>
          <xdr:col>20</xdr:col>
          <xdr:colOff>0</xdr:colOff>
          <xdr:row>58</xdr:row>
          <xdr:rowOff>19050</xdr:rowOff>
        </xdr:to>
        <xdr:sp>
          <xdr:nvSpPr>
            <xdr:cNvPr id="6164" name="Check Box 20" hidden="1">
              <a:extLst>
                <a:ext uri="{63B3BB69-23CF-44E3-9099-C40C66FF867C}">
                  <a14:compatExt spid="_x0000_s6164"/>
                </a:ext>
              </a:extLst>
            </xdr:cNvPr>
            <xdr:cNvSpPr/>
          </xdr:nvSpPr>
          <xdr:spPr>
            <a:xfrm>
              <a:off x="2705100" y="7023100"/>
              <a:ext cx="1905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146050</xdr:colOff>
          <xdr:row>6</xdr:row>
          <xdr:rowOff>114300</xdr:rowOff>
        </xdr:from>
        <xdr:to>
          <xdr:col>28</xdr:col>
          <xdr:colOff>50800</xdr:colOff>
          <xdr:row>8</xdr:row>
          <xdr:rowOff>31750</xdr:rowOff>
        </xdr:to>
        <xdr:sp>
          <xdr:nvSpPr>
            <xdr:cNvPr id="7169" name="Check Box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4591050" y="825500"/>
              <a:ext cx="222250" cy="2222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146050</xdr:colOff>
          <xdr:row>7</xdr:row>
          <xdr:rowOff>114300</xdr:rowOff>
        </xdr:from>
        <xdr:to>
          <xdr:col>28</xdr:col>
          <xdr:colOff>50800</xdr:colOff>
          <xdr:row>9</xdr:row>
          <xdr:rowOff>31750</xdr:rowOff>
        </xdr:to>
        <xdr:sp>
          <xdr:nvSpPr>
            <xdr:cNvPr id="7170" name="Check Box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>
            <a:xfrm>
              <a:off x="4591050" y="977900"/>
              <a:ext cx="222250" cy="2222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146050</xdr:colOff>
          <xdr:row>8</xdr:row>
          <xdr:rowOff>114300</xdr:rowOff>
        </xdr:from>
        <xdr:to>
          <xdr:col>28</xdr:col>
          <xdr:colOff>50800</xdr:colOff>
          <xdr:row>10</xdr:row>
          <xdr:rowOff>31750</xdr:rowOff>
        </xdr:to>
        <xdr:sp>
          <xdr:nvSpPr>
            <xdr:cNvPr id="7171" name="Check Box 3" hidden="1">
              <a:extLst>
                <a:ext uri="{63B3BB69-23CF-44E3-9099-C40C66FF867C}">
                  <a14:compatExt spid="_x0000_s7171"/>
                </a:ext>
              </a:extLst>
            </xdr:cNvPr>
            <xdr:cNvSpPr/>
          </xdr:nvSpPr>
          <xdr:spPr>
            <a:xfrm>
              <a:off x="4591050" y="1130300"/>
              <a:ext cx="222250" cy="2222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146050</xdr:colOff>
          <xdr:row>9</xdr:row>
          <xdr:rowOff>127000</xdr:rowOff>
        </xdr:from>
        <xdr:to>
          <xdr:col>28</xdr:col>
          <xdr:colOff>57150</xdr:colOff>
          <xdr:row>11</xdr:row>
          <xdr:rowOff>31750</xdr:rowOff>
        </xdr:to>
        <xdr:sp>
          <xdr:nvSpPr>
            <xdr:cNvPr id="7172" name="Check Box 4" hidden="1">
              <a:extLst>
                <a:ext uri="{63B3BB69-23CF-44E3-9099-C40C66FF867C}">
                  <a14:compatExt spid="_x0000_s7172"/>
                </a:ext>
              </a:extLst>
            </xdr:cNvPr>
            <xdr:cNvSpPr/>
          </xdr:nvSpPr>
          <xdr:spPr>
            <a:xfrm>
              <a:off x="4591050" y="1295400"/>
              <a:ext cx="228600" cy="2095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146050</xdr:colOff>
          <xdr:row>10</xdr:row>
          <xdr:rowOff>114300</xdr:rowOff>
        </xdr:from>
        <xdr:to>
          <xdr:col>28</xdr:col>
          <xdr:colOff>50800</xdr:colOff>
          <xdr:row>12</xdr:row>
          <xdr:rowOff>31750</xdr:rowOff>
        </xdr:to>
        <xdr:sp>
          <xdr:nvSpPr>
            <xdr:cNvPr id="7173" name="Check Box 5" hidden="1">
              <a:extLst>
                <a:ext uri="{63B3BB69-23CF-44E3-9099-C40C66FF867C}">
                  <a14:compatExt spid="_x0000_s7173"/>
                </a:ext>
              </a:extLst>
            </xdr:cNvPr>
            <xdr:cNvSpPr/>
          </xdr:nvSpPr>
          <xdr:spPr>
            <a:xfrm>
              <a:off x="4591050" y="1435100"/>
              <a:ext cx="222250" cy="2222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146050</xdr:colOff>
          <xdr:row>11</xdr:row>
          <xdr:rowOff>114300</xdr:rowOff>
        </xdr:from>
        <xdr:to>
          <xdr:col>28</xdr:col>
          <xdr:colOff>50800</xdr:colOff>
          <xdr:row>13</xdr:row>
          <xdr:rowOff>31750</xdr:rowOff>
        </xdr:to>
        <xdr:sp>
          <xdr:nvSpPr>
            <xdr:cNvPr id="7174" name="Check Box 6" hidden="1">
              <a:extLst>
                <a:ext uri="{63B3BB69-23CF-44E3-9099-C40C66FF867C}">
                  <a14:compatExt spid="_x0000_s7174"/>
                </a:ext>
              </a:extLst>
            </xdr:cNvPr>
            <xdr:cNvSpPr/>
          </xdr:nvSpPr>
          <xdr:spPr>
            <a:xfrm>
              <a:off x="4591050" y="1587500"/>
              <a:ext cx="222250" cy="2222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146050</xdr:colOff>
          <xdr:row>12</xdr:row>
          <xdr:rowOff>114300</xdr:rowOff>
        </xdr:from>
        <xdr:to>
          <xdr:col>28</xdr:col>
          <xdr:colOff>50800</xdr:colOff>
          <xdr:row>14</xdr:row>
          <xdr:rowOff>31750</xdr:rowOff>
        </xdr:to>
        <xdr:sp>
          <xdr:nvSpPr>
            <xdr:cNvPr id="7175" name="Check Box 7" hidden="1">
              <a:extLst>
                <a:ext uri="{63B3BB69-23CF-44E3-9099-C40C66FF867C}">
                  <a14:compatExt spid="_x0000_s7175"/>
                </a:ext>
              </a:extLst>
            </xdr:cNvPr>
            <xdr:cNvSpPr/>
          </xdr:nvSpPr>
          <xdr:spPr>
            <a:xfrm>
              <a:off x="4591050" y="1739900"/>
              <a:ext cx="222250" cy="2222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146050</xdr:colOff>
          <xdr:row>13</xdr:row>
          <xdr:rowOff>114300</xdr:rowOff>
        </xdr:from>
        <xdr:to>
          <xdr:col>28</xdr:col>
          <xdr:colOff>50800</xdr:colOff>
          <xdr:row>15</xdr:row>
          <xdr:rowOff>31750</xdr:rowOff>
        </xdr:to>
        <xdr:sp>
          <xdr:nvSpPr>
            <xdr:cNvPr id="7176" name="Check Box 8" hidden="1">
              <a:extLst>
                <a:ext uri="{63B3BB69-23CF-44E3-9099-C40C66FF867C}">
                  <a14:compatExt spid="_x0000_s7176"/>
                </a:ext>
              </a:extLst>
            </xdr:cNvPr>
            <xdr:cNvSpPr/>
          </xdr:nvSpPr>
          <xdr:spPr>
            <a:xfrm>
              <a:off x="4591050" y="1892300"/>
              <a:ext cx="222250" cy="2222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146050</xdr:colOff>
          <xdr:row>14</xdr:row>
          <xdr:rowOff>114300</xdr:rowOff>
        </xdr:from>
        <xdr:to>
          <xdr:col>28</xdr:col>
          <xdr:colOff>50800</xdr:colOff>
          <xdr:row>16</xdr:row>
          <xdr:rowOff>31750</xdr:rowOff>
        </xdr:to>
        <xdr:sp>
          <xdr:nvSpPr>
            <xdr:cNvPr id="7177" name="Check Box 9" hidden="1">
              <a:extLst>
                <a:ext uri="{63B3BB69-23CF-44E3-9099-C40C66FF867C}">
                  <a14:compatExt spid="_x0000_s7177"/>
                </a:ext>
              </a:extLst>
            </xdr:cNvPr>
            <xdr:cNvSpPr/>
          </xdr:nvSpPr>
          <xdr:spPr>
            <a:xfrm>
              <a:off x="4591050" y="2044700"/>
              <a:ext cx="222250" cy="2222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146050</xdr:colOff>
          <xdr:row>15</xdr:row>
          <xdr:rowOff>114300</xdr:rowOff>
        </xdr:from>
        <xdr:to>
          <xdr:col>28</xdr:col>
          <xdr:colOff>50800</xdr:colOff>
          <xdr:row>17</xdr:row>
          <xdr:rowOff>31750</xdr:rowOff>
        </xdr:to>
        <xdr:sp>
          <xdr:nvSpPr>
            <xdr:cNvPr id="7178" name="Check Box 10" hidden="1">
              <a:extLst>
                <a:ext uri="{63B3BB69-23CF-44E3-9099-C40C66FF867C}">
                  <a14:compatExt spid="_x0000_s7178"/>
                </a:ext>
              </a:extLst>
            </xdr:cNvPr>
            <xdr:cNvSpPr/>
          </xdr:nvSpPr>
          <xdr:spPr>
            <a:xfrm>
              <a:off x="4591050" y="2197100"/>
              <a:ext cx="222250" cy="2222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146050</xdr:colOff>
          <xdr:row>18</xdr:row>
          <xdr:rowOff>152400</xdr:rowOff>
        </xdr:from>
        <xdr:to>
          <xdr:col>28</xdr:col>
          <xdr:colOff>50800</xdr:colOff>
          <xdr:row>20</xdr:row>
          <xdr:rowOff>69850</xdr:rowOff>
        </xdr:to>
        <xdr:sp>
          <xdr:nvSpPr>
            <xdr:cNvPr id="7179" name="Check Box 11" hidden="1">
              <a:extLst>
                <a:ext uri="{63B3BB69-23CF-44E3-9099-C40C66FF867C}">
                  <a14:compatExt spid="_x0000_s7179"/>
                </a:ext>
              </a:extLst>
            </xdr:cNvPr>
            <xdr:cNvSpPr/>
          </xdr:nvSpPr>
          <xdr:spPr>
            <a:xfrm>
              <a:off x="4591050" y="2590800"/>
              <a:ext cx="222250" cy="2222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146050</xdr:colOff>
          <xdr:row>19</xdr:row>
          <xdr:rowOff>114300</xdr:rowOff>
        </xdr:from>
        <xdr:to>
          <xdr:col>28</xdr:col>
          <xdr:colOff>50800</xdr:colOff>
          <xdr:row>21</xdr:row>
          <xdr:rowOff>31750</xdr:rowOff>
        </xdr:to>
        <xdr:sp>
          <xdr:nvSpPr>
            <xdr:cNvPr id="7180" name="Check Box 12" hidden="1">
              <a:extLst>
                <a:ext uri="{63B3BB69-23CF-44E3-9099-C40C66FF867C}">
                  <a14:compatExt spid="_x0000_s7180"/>
                </a:ext>
              </a:extLst>
            </xdr:cNvPr>
            <xdr:cNvSpPr/>
          </xdr:nvSpPr>
          <xdr:spPr>
            <a:xfrm>
              <a:off x="4591050" y="2705100"/>
              <a:ext cx="222250" cy="2222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146050</xdr:colOff>
          <xdr:row>20</xdr:row>
          <xdr:rowOff>114300</xdr:rowOff>
        </xdr:from>
        <xdr:to>
          <xdr:col>28</xdr:col>
          <xdr:colOff>50800</xdr:colOff>
          <xdr:row>22</xdr:row>
          <xdr:rowOff>31750</xdr:rowOff>
        </xdr:to>
        <xdr:sp>
          <xdr:nvSpPr>
            <xdr:cNvPr id="7181" name="Check Box 13" hidden="1">
              <a:extLst>
                <a:ext uri="{63B3BB69-23CF-44E3-9099-C40C66FF867C}">
                  <a14:compatExt spid="_x0000_s7181"/>
                </a:ext>
              </a:extLst>
            </xdr:cNvPr>
            <xdr:cNvSpPr/>
          </xdr:nvSpPr>
          <xdr:spPr>
            <a:xfrm>
              <a:off x="4591050" y="2857500"/>
              <a:ext cx="222250" cy="2222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146050</xdr:colOff>
          <xdr:row>21</xdr:row>
          <xdr:rowOff>114300</xdr:rowOff>
        </xdr:from>
        <xdr:to>
          <xdr:col>28</xdr:col>
          <xdr:colOff>50800</xdr:colOff>
          <xdr:row>23</xdr:row>
          <xdr:rowOff>19050</xdr:rowOff>
        </xdr:to>
        <xdr:sp>
          <xdr:nvSpPr>
            <xdr:cNvPr id="7182" name="Check Box 14" hidden="1">
              <a:extLst>
                <a:ext uri="{63B3BB69-23CF-44E3-9099-C40C66FF867C}">
                  <a14:compatExt spid="_x0000_s7182"/>
                </a:ext>
              </a:extLst>
            </xdr:cNvPr>
            <xdr:cNvSpPr/>
          </xdr:nvSpPr>
          <xdr:spPr>
            <a:xfrm>
              <a:off x="4591050" y="3009900"/>
              <a:ext cx="222250" cy="2095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146050</xdr:colOff>
          <xdr:row>22</xdr:row>
          <xdr:rowOff>114300</xdr:rowOff>
        </xdr:from>
        <xdr:to>
          <xdr:col>28</xdr:col>
          <xdr:colOff>50800</xdr:colOff>
          <xdr:row>24</xdr:row>
          <xdr:rowOff>31750</xdr:rowOff>
        </xdr:to>
        <xdr:sp>
          <xdr:nvSpPr>
            <xdr:cNvPr id="7183" name="Check Box 15" hidden="1">
              <a:extLst>
                <a:ext uri="{63B3BB69-23CF-44E3-9099-C40C66FF867C}">
                  <a14:compatExt spid="_x0000_s7183"/>
                </a:ext>
              </a:extLst>
            </xdr:cNvPr>
            <xdr:cNvSpPr/>
          </xdr:nvSpPr>
          <xdr:spPr>
            <a:xfrm>
              <a:off x="4591050" y="3162300"/>
              <a:ext cx="222250" cy="2222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146050</xdr:colOff>
          <xdr:row>32</xdr:row>
          <xdr:rowOff>114300</xdr:rowOff>
        </xdr:from>
        <xdr:to>
          <xdr:col>12</xdr:col>
          <xdr:colOff>57150</xdr:colOff>
          <xdr:row>34</xdr:row>
          <xdr:rowOff>19050</xdr:rowOff>
        </xdr:to>
        <xdr:sp>
          <xdr:nvSpPr>
            <xdr:cNvPr id="7184" name="Check Box 16" hidden="1">
              <a:extLst>
                <a:ext uri="{63B3BB69-23CF-44E3-9099-C40C66FF867C}">
                  <a14:compatExt spid="_x0000_s7184"/>
                </a:ext>
              </a:extLst>
            </xdr:cNvPr>
            <xdr:cNvSpPr/>
          </xdr:nvSpPr>
          <xdr:spPr>
            <a:xfrm>
              <a:off x="1441450" y="4279900"/>
              <a:ext cx="2286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146050</xdr:colOff>
          <xdr:row>33</xdr:row>
          <xdr:rowOff>114300</xdr:rowOff>
        </xdr:from>
        <xdr:to>
          <xdr:col>12</xdr:col>
          <xdr:colOff>57150</xdr:colOff>
          <xdr:row>35</xdr:row>
          <xdr:rowOff>19050</xdr:rowOff>
        </xdr:to>
        <xdr:sp>
          <xdr:nvSpPr>
            <xdr:cNvPr id="7185" name="Check Box 17" hidden="1">
              <a:extLst>
                <a:ext uri="{63B3BB69-23CF-44E3-9099-C40C66FF867C}">
                  <a14:compatExt spid="_x0000_s7185"/>
                </a:ext>
              </a:extLst>
            </xdr:cNvPr>
            <xdr:cNvSpPr/>
          </xdr:nvSpPr>
          <xdr:spPr>
            <a:xfrm>
              <a:off x="1441450" y="4432300"/>
              <a:ext cx="2286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146050</xdr:colOff>
          <xdr:row>34</xdr:row>
          <xdr:rowOff>114300</xdr:rowOff>
        </xdr:from>
        <xdr:to>
          <xdr:col>12</xdr:col>
          <xdr:colOff>57150</xdr:colOff>
          <xdr:row>36</xdr:row>
          <xdr:rowOff>19050</xdr:rowOff>
        </xdr:to>
        <xdr:sp>
          <xdr:nvSpPr>
            <xdr:cNvPr id="7186" name="Check Box 18" hidden="1">
              <a:extLst>
                <a:ext uri="{63B3BB69-23CF-44E3-9099-C40C66FF867C}">
                  <a14:compatExt spid="_x0000_s7186"/>
                </a:ext>
              </a:extLst>
            </xdr:cNvPr>
            <xdr:cNvSpPr/>
          </xdr:nvSpPr>
          <xdr:spPr>
            <a:xfrm>
              <a:off x="1441450" y="4584700"/>
              <a:ext cx="2286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issm\Downloads\GSPv2026.02.25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URCE"/>
      <sheetName val="list"/>
      <sheetName val="activesheet"/>
      <sheetName val="TOC"/>
      <sheetName val="Medium of Instruction"/>
      <sheetName val="Medium of Instruction-Original"/>
      <sheetName val="School Profile"/>
      <sheetName val="Part I. Learners"/>
      <sheetName val="I. Tables 1 &amp; 2"/>
      <sheetName val="I. Table 2 Def"/>
      <sheetName val="I. Tables 3 &amp; 4"/>
      <sheetName val="I. Table 5"/>
      <sheetName val="I. Table 5 (cont.)"/>
      <sheetName val="I. Tables 3 to 5 Def"/>
      <sheetName val="I. Table 6"/>
      <sheetName val="I. Table 6 (cont.)"/>
      <sheetName val="I. Tables 7 &amp; 8"/>
      <sheetName val="Part II. Classes"/>
      <sheetName val="II. Box 1"/>
      <sheetName val="II. Table 1"/>
      <sheetName val="Part III. SNEd LRs"/>
      <sheetName val="III. Table 1"/>
      <sheetName val="Part IV. School Personnel"/>
      <sheetName val="IV. Table 1"/>
      <sheetName val="IV. Table 2"/>
      <sheetName val="IV. Table 3"/>
      <sheetName val="IV. Table 4"/>
      <sheetName val="IV. Table 5"/>
      <sheetName val="IV. Table 6"/>
      <sheetName val="IV. Tables 7 &amp; 8"/>
      <sheetName val="IV. Table 9"/>
      <sheetName val="IV. Tables 10 &amp; 11.A"/>
      <sheetName val="IV. Table 11.B to 11.D"/>
      <sheetName val="IV. Table 11.E"/>
      <sheetName val="IV. Tables 12 &amp; 13"/>
      <sheetName val="IV. Tables 14 &amp; 15"/>
      <sheetName val="IV. Table 16"/>
      <sheetName val="IV. Table 16 (cont.)"/>
      <sheetName val="IV. Tables 17 &amp; 18"/>
      <sheetName val="IV. Tables 19 to 21"/>
      <sheetName val="IV. Tables 22 &amp; 23"/>
      <sheetName val="Part V. Learner Orgs"/>
      <sheetName val="V. Box 1"/>
      <sheetName val="V. Box 2"/>
      <sheetName val="V. Box 3"/>
      <sheetName val="V. Box 4"/>
      <sheetName val="Part VI. ICT in Schools"/>
      <sheetName val="VI. Table 1"/>
      <sheetName val="VI. Table 1 Def."/>
      <sheetName val="VI. Tables 2 to 4"/>
      <sheetName val="VI. Box 1"/>
      <sheetName val="VI. Box 1 Def."/>
      <sheetName val="VI. Box 1 Def. (cont.)"/>
      <sheetName val="Part VII. Electrical Supply"/>
      <sheetName val="VII. Box 1"/>
      <sheetName val="List of Electricity Providers"/>
      <sheetName val="Part VIII. School Site."/>
      <sheetName val="VIII. Box 1"/>
      <sheetName val="VIII. Box 1 (cont.)"/>
      <sheetName val="VIII. Box 1 Def"/>
      <sheetName val="VIII. Box 1 Def (cont.)"/>
      <sheetName val="Part IX. School Health (3)"/>
      <sheetName val="IX. Box 1 (3)"/>
      <sheetName val="IX. Box 1 Def (3)"/>
      <sheetName val="IX. Table 1.A &amp; 1.B (3)"/>
      <sheetName val="IX. Table 1.C &amp; 1.D (3)"/>
      <sheetName val="IX. Boxes 2 &amp; 3; Table 2 (3)"/>
      <sheetName val="IX. Box 4 (3)"/>
      <sheetName val="IX. Boxes 5 &amp; 6 (3)"/>
      <sheetName val="IX. Boxes 7 to 9 (3)"/>
      <sheetName val="IX. Boxes 10 &amp; 11 (3)"/>
      <sheetName val="Part IX. School Health (2)"/>
      <sheetName val="IX. Box 1 (2)"/>
      <sheetName val="IX. Box 1 Def (2)"/>
      <sheetName val="IX. Table 1.A &amp; 1.B (2)"/>
      <sheetName val="IX. Table 1.C &amp; 1.D (2)"/>
      <sheetName val="IX. Boxes 2 &amp; 3; Table 2 (2)"/>
      <sheetName val="IX. Box 4 (2)"/>
      <sheetName val="IX. Boxes 5 &amp; 6 (2)"/>
      <sheetName val="IX. Boxes 7 to 9 (2)"/>
      <sheetName val="IX. Boxes 10 &amp; 11 (2)"/>
      <sheetName val="Part X. Learner Rights"/>
      <sheetName val="X. Box 1"/>
      <sheetName val="X. Box 2 (item 1)"/>
      <sheetName val="X. Box 2 (item 1) Def."/>
      <sheetName val="X. Box 2 (items 2 &amp; 3)"/>
      <sheetName val="X. Box 2 (item 4)"/>
      <sheetName val="X. Box 2 (items 5 &amp; 6)"/>
      <sheetName val="Part XI. School Sports"/>
      <sheetName val="XI. Table 1"/>
      <sheetName val="XI. Table 2"/>
      <sheetName val="XI. Table 2 (cont.)"/>
      <sheetName val="XI. Box 1"/>
      <sheetName val="XI. Box 2"/>
      <sheetName val="Part XII. DRRM"/>
      <sheetName val="XII. Table 1"/>
      <sheetName val="XII. Table 2 (Part 1)"/>
      <sheetName val="XII. Table 2 (Part 2)"/>
      <sheetName val="XII. Box 1"/>
      <sheetName val="XII. Box 1 Def"/>
      <sheetName val="XII. Box 2"/>
      <sheetName val="XII. Box 3 (Parts 1 and 2)"/>
      <sheetName val="XII. Box 3 (Part 3)"/>
      <sheetName val="XII. Box 3 Def"/>
      <sheetName val="XII. Box 3 Def (cont.)"/>
      <sheetName val="XII. Box 4 (Part 1)"/>
      <sheetName val="XII. Box 4 (Part 2)"/>
      <sheetName val="XII. Box 4 (Part 3a)"/>
      <sheetName val="XII. Box 4 (Part 3b)"/>
      <sheetName val="XII. Box 4 (Parts 3c &amp; 3d)"/>
      <sheetName val="Part XIII. IPEd"/>
      <sheetName val="XIII. Box 1 (Part A)"/>
      <sheetName val="XIII. Box 1 (Part B)"/>
      <sheetName val="XIII. Box 1 Def"/>
      <sheetName val="Part XIV. MOOE"/>
      <sheetName val="XIV. Table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11.xml"/><Relationship Id="rId8" Type="http://schemas.openxmlformats.org/officeDocument/2006/relationships/ctrlProp" Target="../ctrlProps/ctrlProp10.xml"/><Relationship Id="rId7" Type="http://schemas.openxmlformats.org/officeDocument/2006/relationships/ctrlProp" Target="../ctrlProps/ctrlProp9.xml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Relationship Id="rId3" Type="http://schemas.openxmlformats.org/officeDocument/2006/relationships/ctrlProp" Target="../ctrlProps/ctrlProp5.xml"/><Relationship Id="rId27" Type="http://schemas.openxmlformats.org/officeDocument/2006/relationships/ctrlProp" Target="../ctrlProps/ctrlProp29.xml"/><Relationship Id="rId26" Type="http://schemas.openxmlformats.org/officeDocument/2006/relationships/ctrlProp" Target="../ctrlProps/ctrlProp28.xml"/><Relationship Id="rId25" Type="http://schemas.openxmlformats.org/officeDocument/2006/relationships/ctrlProp" Target="../ctrlProps/ctrlProp27.xml"/><Relationship Id="rId24" Type="http://schemas.openxmlformats.org/officeDocument/2006/relationships/ctrlProp" Target="../ctrlProps/ctrlProp26.xml"/><Relationship Id="rId23" Type="http://schemas.openxmlformats.org/officeDocument/2006/relationships/ctrlProp" Target="../ctrlProps/ctrlProp25.xml"/><Relationship Id="rId22" Type="http://schemas.openxmlformats.org/officeDocument/2006/relationships/ctrlProp" Target="../ctrlProps/ctrlProp24.xml"/><Relationship Id="rId21" Type="http://schemas.openxmlformats.org/officeDocument/2006/relationships/ctrlProp" Target="../ctrlProps/ctrlProp23.xml"/><Relationship Id="rId20" Type="http://schemas.openxmlformats.org/officeDocument/2006/relationships/ctrlProp" Target="../ctrlProps/ctrlProp22.xml"/><Relationship Id="rId2" Type="http://schemas.openxmlformats.org/officeDocument/2006/relationships/vmlDrawing" Target="../drawings/vmlDrawing2.vml"/><Relationship Id="rId19" Type="http://schemas.openxmlformats.org/officeDocument/2006/relationships/ctrlProp" Target="../ctrlProps/ctrlProp21.xml"/><Relationship Id="rId18" Type="http://schemas.openxmlformats.org/officeDocument/2006/relationships/ctrlProp" Target="../ctrlProps/ctrlProp20.xml"/><Relationship Id="rId17" Type="http://schemas.openxmlformats.org/officeDocument/2006/relationships/ctrlProp" Target="../ctrlProps/ctrlProp19.xml"/><Relationship Id="rId16" Type="http://schemas.openxmlformats.org/officeDocument/2006/relationships/ctrlProp" Target="../ctrlProps/ctrlProp18.xml"/><Relationship Id="rId15" Type="http://schemas.openxmlformats.org/officeDocument/2006/relationships/ctrlProp" Target="../ctrlProps/ctrlProp17.xml"/><Relationship Id="rId14" Type="http://schemas.openxmlformats.org/officeDocument/2006/relationships/ctrlProp" Target="../ctrlProps/ctrlProp16.xml"/><Relationship Id="rId13" Type="http://schemas.openxmlformats.org/officeDocument/2006/relationships/ctrlProp" Target="../ctrlProps/ctrlProp15.xml"/><Relationship Id="rId12" Type="http://schemas.openxmlformats.org/officeDocument/2006/relationships/ctrlProp" Target="../ctrlProps/ctrlProp14.xml"/><Relationship Id="rId11" Type="http://schemas.openxmlformats.org/officeDocument/2006/relationships/ctrlProp" Target="../ctrlProps/ctrlProp13.xml"/><Relationship Id="rId10" Type="http://schemas.openxmlformats.org/officeDocument/2006/relationships/ctrlProp" Target="../ctrlProps/ctrlProp1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31.xml"/><Relationship Id="rId3" Type="http://schemas.openxmlformats.org/officeDocument/2006/relationships/ctrlProp" Target="../ctrlProps/ctrlProp30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7" Type="http://schemas.openxmlformats.org/officeDocument/2006/relationships/ctrlProp" Target="../ctrlProps/ctrlProp36.xml"/><Relationship Id="rId6" Type="http://schemas.openxmlformats.org/officeDocument/2006/relationships/ctrlProp" Target="../ctrlProps/ctrlProp35.xml"/><Relationship Id="rId5" Type="http://schemas.openxmlformats.org/officeDocument/2006/relationships/ctrlProp" Target="../ctrlProps/ctrlProp34.xml"/><Relationship Id="rId4" Type="http://schemas.openxmlformats.org/officeDocument/2006/relationships/ctrlProp" Target="../ctrlProps/ctrlProp33.xml"/><Relationship Id="rId3" Type="http://schemas.openxmlformats.org/officeDocument/2006/relationships/ctrlProp" Target="../ctrlProps/ctrlProp32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43.xml"/><Relationship Id="rId8" Type="http://schemas.openxmlformats.org/officeDocument/2006/relationships/ctrlProp" Target="../ctrlProps/ctrlProp42.xml"/><Relationship Id="rId7" Type="http://schemas.openxmlformats.org/officeDocument/2006/relationships/ctrlProp" Target="../ctrlProps/ctrlProp41.xml"/><Relationship Id="rId6" Type="http://schemas.openxmlformats.org/officeDocument/2006/relationships/ctrlProp" Target="../ctrlProps/ctrlProp40.xml"/><Relationship Id="rId5" Type="http://schemas.openxmlformats.org/officeDocument/2006/relationships/ctrlProp" Target="../ctrlProps/ctrlProp39.xml"/><Relationship Id="rId4" Type="http://schemas.openxmlformats.org/officeDocument/2006/relationships/ctrlProp" Target="../ctrlProps/ctrlProp38.xml"/><Relationship Id="rId3" Type="http://schemas.openxmlformats.org/officeDocument/2006/relationships/ctrlProp" Target="../ctrlProps/ctrlProp37.xml"/><Relationship Id="rId22" Type="http://schemas.openxmlformats.org/officeDocument/2006/relationships/ctrlProp" Target="../ctrlProps/ctrlProp56.xml"/><Relationship Id="rId21" Type="http://schemas.openxmlformats.org/officeDocument/2006/relationships/ctrlProp" Target="../ctrlProps/ctrlProp55.xml"/><Relationship Id="rId20" Type="http://schemas.openxmlformats.org/officeDocument/2006/relationships/ctrlProp" Target="../ctrlProps/ctrlProp54.xml"/><Relationship Id="rId2" Type="http://schemas.openxmlformats.org/officeDocument/2006/relationships/vmlDrawing" Target="../drawings/vmlDrawing5.vml"/><Relationship Id="rId19" Type="http://schemas.openxmlformats.org/officeDocument/2006/relationships/ctrlProp" Target="../ctrlProps/ctrlProp53.xml"/><Relationship Id="rId18" Type="http://schemas.openxmlformats.org/officeDocument/2006/relationships/ctrlProp" Target="../ctrlProps/ctrlProp52.xml"/><Relationship Id="rId17" Type="http://schemas.openxmlformats.org/officeDocument/2006/relationships/ctrlProp" Target="../ctrlProps/ctrlProp51.xml"/><Relationship Id="rId16" Type="http://schemas.openxmlformats.org/officeDocument/2006/relationships/ctrlProp" Target="../ctrlProps/ctrlProp50.xml"/><Relationship Id="rId15" Type="http://schemas.openxmlformats.org/officeDocument/2006/relationships/ctrlProp" Target="../ctrlProps/ctrlProp49.xml"/><Relationship Id="rId14" Type="http://schemas.openxmlformats.org/officeDocument/2006/relationships/ctrlProp" Target="../ctrlProps/ctrlProp48.xml"/><Relationship Id="rId13" Type="http://schemas.openxmlformats.org/officeDocument/2006/relationships/ctrlProp" Target="../ctrlProps/ctrlProp47.xml"/><Relationship Id="rId12" Type="http://schemas.openxmlformats.org/officeDocument/2006/relationships/ctrlProp" Target="../ctrlProps/ctrlProp46.xml"/><Relationship Id="rId11" Type="http://schemas.openxmlformats.org/officeDocument/2006/relationships/ctrlProp" Target="../ctrlProps/ctrlProp45.xml"/><Relationship Id="rId10" Type="http://schemas.openxmlformats.org/officeDocument/2006/relationships/ctrlProp" Target="../ctrlProps/ctrlProp44.x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63.xml"/><Relationship Id="rId8" Type="http://schemas.openxmlformats.org/officeDocument/2006/relationships/ctrlProp" Target="../ctrlProps/ctrlProp62.xml"/><Relationship Id="rId7" Type="http://schemas.openxmlformats.org/officeDocument/2006/relationships/ctrlProp" Target="../ctrlProps/ctrlProp61.xml"/><Relationship Id="rId6" Type="http://schemas.openxmlformats.org/officeDocument/2006/relationships/ctrlProp" Target="../ctrlProps/ctrlProp60.xml"/><Relationship Id="rId5" Type="http://schemas.openxmlformats.org/officeDocument/2006/relationships/ctrlProp" Target="../ctrlProps/ctrlProp59.xml"/><Relationship Id="rId4" Type="http://schemas.openxmlformats.org/officeDocument/2006/relationships/ctrlProp" Target="../ctrlProps/ctrlProp58.xml"/><Relationship Id="rId3" Type="http://schemas.openxmlformats.org/officeDocument/2006/relationships/ctrlProp" Target="../ctrlProps/ctrlProp57.xml"/><Relationship Id="rId20" Type="http://schemas.openxmlformats.org/officeDocument/2006/relationships/ctrlProp" Target="../ctrlProps/ctrlProp74.xml"/><Relationship Id="rId2" Type="http://schemas.openxmlformats.org/officeDocument/2006/relationships/vmlDrawing" Target="../drawings/vmlDrawing6.vml"/><Relationship Id="rId19" Type="http://schemas.openxmlformats.org/officeDocument/2006/relationships/ctrlProp" Target="../ctrlProps/ctrlProp73.xml"/><Relationship Id="rId18" Type="http://schemas.openxmlformats.org/officeDocument/2006/relationships/ctrlProp" Target="../ctrlProps/ctrlProp72.xml"/><Relationship Id="rId17" Type="http://schemas.openxmlformats.org/officeDocument/2006/relationships/ctrlProp" Target="../ctrlProps/ctrlProp71.xml"/><Relationship Id="rId16" Type="http://schemas.openxmlformats.org/officeDocument/2006/relationships/ctrlProp" Target="../ctrlProps/ctrlProp70.xml"/><Relationship Id="rId15" Type="http://schemas.openxmlformats.org/officeDocument/2006/relationships/ctrlProp" Target="../ctrlProps/ctrlProp69.xml"/><Relationship Id="rId14" Type="http://schemas.openxmlformats.org/officeDocument/2006/relationships/ctrlProp" Target="../ctrlProps/ctrlProp68.xml"/><Relationship Id="rId13" Type="http://schemas.openxmlformats.org/officeDocument/2006/relationships/ctrlProp" Target="../ctrlProps/ctrlProp67.xml"/><Relationship Id="rId12" Type="http://schemas.openxmlformats.org/officeDocument/2006/relationships/ctrlProp" Target="../ctrlProps/ctrlProp66.xml"/><Relationship Id="rId11" Type="http://schemas.openxmlformats.org/officeDocument/2006/relationships/ctrlProp" Target="../ctrlProps/ctrlProp65.xml"/><Relationship Id="rId10" Type="http://schemas.openxmlformats.org/officeDocument/2006/relationships/ctrlProp" Target="../ctrlProps/ctrlProp64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F09A"/>
  </sheetPr>
  <dimension ref="A1:J60"/>
  <sheetViews>
    <sheetView tabSelected="1" view="pageBreakPreview" zoomScale="85" zoomScaleNormal="141" topLeftCell="A5" workbookViewId="0">
      <selection activeCell="M7" sqref="M7"/>
    </sheetView>
  </sheetViews>
  <sheetFormatPr defaultColWidth="8.72727272727273" defaultRowHeight="12" customHeight="1"/>
  <cols>
    <col min="1" max="2" width="10" style="290" customWidth="1"/>
    <col min="3" max="9" width="10" style="289" customWidth="1"/>
    <col min="10" max="10" width="10" style="290" customWidth="1"/>
    <col min="11" max="16384" width="8.72727272727273" style="2"/>
  </cols>
  <sheetData>
    <row r="1" customHeight="1" spans="1:10">
      <c r="A1" s="291" t="s">
        <v>0</v>
      </c>
      <c r="B1" s="291"/>
      <c r="C1" s="291"/>
      <c r="D1" s="291"/>
      <c r="E1" s="291"/>
      <c r="F1" s="291"/>
      <c r="G1" s="291"/>
      <c r="H1" s="291"/>
      <c r="I1" s="291"/>
      <c r="J1" s="291"/>
    </row>
    <row r="2" customHeight="1" spans="1:10">
      <c r="A2" s="291"/>
      <c r="B2" s="291"/>
      <c r="C2" s="291"/>
      <c r="D2" s="291"/>
      <c r="E2" s="291"/>
      <c r="F2" s="291"/>
      <c r="G2" s="291"/>
      <c r="H2" s="291"/>
      <c r="I2" s="291"/>
      <c r="J2" s="291"/>
    </row>
    <row r="4" customHeight="1" spans="1:10">
      <c r="B4" s="292" t="str">
        <f>'[1]School Profile'!G21&amp;" - "&amp;'[1]School Profile'!AQ2</f>
        <v> - </v>
      </c>
      <c r="C4" s="292"/>
      <c r="D4" s="292"/>
      <c r="E4" s="292"/>
      <c r="F4" s="292"/>
      <c r="G4" s="292"/>
      <c r="H4" s="292"/>
      <c r="I4" s="292"/>
    </row>
    <row r="5" customHeight="1" spans="1:10">
      <c r="D5" s="293" t="s">
        <v>1</v>
      </c>
      <c r="E5" s="293"/>
      <c r="F5" s="293"/>
      <c r="G5" s="293"/>
    </row>
    <row r="7" s="17" customFormat="1" ht="15" customHeight="1" spans="1:10">
      <c r="A7" s="294" t="s">
        <v>2</v>
      </c>
      <c r="B7" s="294"/>
      <c r="C7" s="294"/>
      <c r="D7" s="294"/>
      <c r="E7" s="294"/>
      <c r="F7" s="294"/>
      <c r="G7" s="294"/>
      <c r="H7" s="294"/>
      <c r="I7" s="294"/>
      <c r="J7" s="294"/>
    </row>
    <row r="8" ht="15" customHeight="1" spans="1:10">
      <c r="A8" s="295"/>
      <c r="B8" s="295"/>
      <c r="C8" s="296"/>
      <c r="D8" s="296"/>
      <c r="E8" s="296"/>
      <c r="F8" s="296"/>
      <c r="G8" s="296"/>
      <c r="H8" s="296"/>
      <c r="I8" s="296"/>
      <c r="J8" s="294"/>
    </row>
    <row r="9" s="289" customFormat="1" ht="24" customHeight="1" spans="1:10">
      <c r="A9" s="297" t="s">
        <v>3</v>
      </c>
      <c r="B9" s="298" t="s">
        <v>4</v>
      </c>
      <c r="C9" s="299" t="s">
        <v>5</v>
      </c>
      <c r="D9" s="300"/>
      <c r="E9" s="300"/>
      <c r="F9" s="300"/>
      <c r="G9" s="300"/>
      <c r="H9" s="300"/>
      <c r="I9" s="301"/>
      <c r="J9" s="302" t="s">
        <v>6</v>
      </c>
    </row>
    <row r="10" ht="16" customHeight="1" spans="1:10">
      <c r="A10" s="303" t="s">
        <v>7</v>
      </c>
      <c r="B10" s="304"/>
      <c r="C10" s="304"/>
      <c r="D10" s="304"/>
      <c r="E10" s="304"/>
      <c r="F10" s="304"/>
      <c r="G10" s="304"/>
      <c r="H10" s="304"/>
      <c r="I10" s="304"/>
      <c r="J10" s="305"/>
    </row>
    <row r="11" ht="36.65" customHeight="1" spans="1:10">
      <c r="A11" s="306"/>
      <c r="B11" s="307">
        <v>1</v>
      </c>
      <c r="C11" s="308" t="s">
        <v>8</v>
      </c>
      <c r="D11" s="309"/>
      <c r="E11" s="309"/>
      <c r="F11" s="309"/>
      <c r="G11" s="309"/>
      <c r="H11" s="309"/>
      <c r="I11" s="310"/>
      <c r="J11" s="311">
        <v>47</v>
      </c>
    </row>
    <row r="12" ht="36.65" customHeight="1" spans="1:10">
      <c r="A12" s="306">
        <v>1</v>
      </c>
      <c r="B12" s="307"/>
      <c r="C12" s="308" t="s">
        <v>9</v>
      </c>
      <c r="D12" s="309"/>
      <c r="E12" s="309"/>
      <c r="F12" s="309"/>
      <c r="G12" s="309"/>
      <c r="H12" s="309"/>
      <c r="I12" s="310"/>
      <c r="J12" s="311" t="s">
        <v>10</v>
      </c>
    </row>
    <row r="13" ht="36.65" customHeight="1" spans="1:10">
      <c r="A13" s="306"/>
      <c r="B13" s="307">
        <v>2</v>
      </c>
      <c r="C13" s="308" t="s">
        <v>11</v>
      </c>
      <c r="D13" s="309"/>
      <c r="E13" s="309"/>
      <c r="F13" s="309"/>
      <c r="G13" s="309"/>
      <c r="H13" s="309"/>
      <c r="I13" s="310"/>
      <c r="J13" s="311">
        <v>51</v>
      </c>
    </row>
    <row r="14" ht="36.65" customHeight="1" spans="1:10">
      <c r="A14" s="306"/>
      <c r="B14" s="307">
        <v>3</v>
      </c>
      <c r="C14" s="308" t="s">
        <v>12</v>
      </c>
      <c r="D14" s="309"/>
      <c r="E14" s="309"/>
      <c r="F14" s="309"/>
      <c r="G14" s="309"/>
      <c r="H14" s="309"/>
      <c r="I14" s="310"/>
      <c r="J14" s="311">
        <v>51</v>
      </c>
    </row>
    <row r="15" ht="36.65" customHeight="1" spans="1:10">
      <c r="A15" s="306">
        <v>2</v>
      </c>
      <c r="B15" s="307"/>
      <c r="C15" s="308" t="s">
        <v>13</v>
      </c>
      <c r="D15" s="309"/>
      <c r="E15" s="309"/>
      <c r="F15" s="309"/>
      <c r="G15" s="309"/>
      <c r="H15" s="309"/>
      <c r="I15" s="310"/>
      <c r="J15" s="311">
        <v>51</v>
      </c>
    </row>
    <row r="16" ht="36.65" customHeight="1" spans="1:10">
      <c r="A16" s="306"/>
      <c r="B16" s="307">
        <v>4</v>
      </c>
      <c r="C16" s="308" t="s">
        <v>14</v>
      </c>
      <c r="D16" s="309"/>
      <c r="E16" s="309"/>
      <c r="F16" s="309"/>
      <c r="G16" s="309"/>
      <c r="H16" s="309"/>
      <c r="I16" s="310"/>
      <c r="J16" s="311">
        <v>52</v>
      </c>
    </row>
    <row r="17" ht="36.65" customHeight="1" spans="1:10">
      <c r="A17" s="306"/>
      <c r="B17" s="307">
        <v>5</v>
      </c>
      <c r="C17" s="308" t="s">
        <v>15</v>
      </c>
      <c r="D17" s="309"/>
      <c r="E17" s="309"/>
      <c r="F17" s="309"/>
      <c r="G17" s="309"/>
      <c r="H17" s="309"/>
      <c r="I17" s="310"/>
      <c r="J17" s="311">
        <v>53</v>
      </c>
    </row>
    <row r="18" ht="36.65" customHeight="1" spans="1:10">
      <c r="A18" s="306"/>
      <c r="B18" s="307">
        <v>6</v>
      </c>
      <c r="C18" s="308" t="s">
        <v>16</v>
      </c>
      <c r="D18" s="309"/>
      <c r="E18" s="309"/>
      <c r="F18" s="309"/>
      <c r="G18" s="309"/>
      <c r="H18" s="309"/>
      <c r="I18" s="310"/>
      <c r="J18" s="311">
        <v>53</v>
      </c>
    </row>
    <row r="19" ht="36.65" customHeight="1" spans="1:10">
      <c r="A19" s="306"/>
      <c r="B19" s="307">
        <v>7</v>
      </c>
      <c r="C19" s="308" t="s">
        <v>17</v>
      </c>
      <c r="D19" s="309"/>
      <c r="E19" s="309"/>
      <c r="F19" s="309"/>
      <c r="G19" s="309"/>
      <c r="H19" s="309"/>
      <c r="I19" s="310"/>
      <c r="J19" s="311">
        <v>54</v>
      </c>
    </row>
    <row r="20" ht="36.65" customHeight="1" spans="1:10">
      <c r="A20" s="306"/>
      <c r="B20" s="307">
        <v>8</v>
      </c>
      <c r="C20" s="308" t="s">
        <v>18</v>
      </c>
      <c r="D20" s="309"/>
      <c r="E20" s="309"/>
      <c r="F20" s="309"/>
      <c r="G20" s="309"/>
      <c r="H20" s="309"/>
      <c r="I20" s="310"/>
      <c r="J20" s="311">
        <v>54</v>
      </c>
    </row>
    <row r="21" ht="36.65" customHeight="1" spans="1:10">
      <c r="A21" s="306"/>
      <c r="B21" s="307">
        <v>9</v>
      </c>
      <c r="C21" s="308" t="s">
        <v>19</v>
      </c>
      <c r="D21" s="309"/>
      <c r="E21" s="309"/>
      <c r="F21" s="309"/>
      <c r="G21" s="309"/>
      <c r="H21" s="309"/>
      <c r="I21" s="310"/>
      <c r="J21" s="311">
        <v>54</v>
      </c>
    </row>
    <row r="22" ht="36.65" customHeight="1" spans="1:10">
      <c r="A22" s="306"/>
      <c r="B22" s="307">
        <v>10</v>
      </c>
      <c r="C22" s="308" t="s">
        <v>20</v>
      </c>
      <c r="D22" s="309"/>
      <c r="E22" s="309"/>
      <c r="F22" s="309"/>
      <c r="G22" s="309"/>
      <c r="H22" s="309"/>
      <c r="I22" s="310"/>
      <c r="J22" s="311">
        <v>55</v>
      </c>
    </row>
    <row r="23" ht="36.65" customHeight="1" spans="1:10">
      <c r="A23" s="312"/>
      <c r="B23" s="313">
        <v>11</v>
      </c>
      <c r="C23" s="314" t="s">
        <v>21</v>
      </c>
      <c r="D23" s="315"/>
      <c r="E23" s="315"/>
      <c r="F23" s="315"/>
      <c r="G23" s="315"/>
      <c r="H23" s="315"/>
      <c r="I23" s="316"/>
      <c r="J23" s="317">
        <v>55</v>
      </c>
    </row>
    <row r="26" customHeight="1" spans="1:10">
      <c r="A26" s="318" t="s">
        <v>22</v>
      </c>
      <c r="B26" s="319"/>
      <c r="C26" s="319"/>
      <c r="D26" s="320"/>
      <c r="E26" s="2"/>
      <c r="F26" s="318" t="s">
        <v>23</v>
      </c>
      <c r="G26" s="319"/>
      <c r="H26" s="319"/>
      <c r="I26" s="320"/>
    </row>
    <row r="27" customHeight="1" spans="1:10">
      <c r="A27" s="290">
        <f>'[1]School Profile'!F47</f>
        <v>0</v>
      </c>
      <c r="C27" s="290"/>
      <c r="D27" s="290"/>
      <c r="E27" s="2"/>
      <c r="F27" s="321"/>
      <c r="G27" s="321"/>
      <c r="H27" s="321"/>
      <c r="I27" s="321"/>
    </row>
    <row r="28" customHeight="1" spans="1:10">
      <c r="A28" s="322"/>
      <c r="B28" s="322"/>
      <c r="C28" s="322"/>
      <c r="D28" s="322"/>
      <c r="E28" s="2"/>
      <c r="F28" s="323"/>
      <c r="G28" s="323"/>
      <c r="H28" s="323"/>
      <c r="I28" s="323"/>
    </row>
    <row r="29" customHeight="1" spans="1:10">
      <c r="A29" s="324" t="s">
        <v>24</v>
      </c>
      <c r="B29" s="324"/>
      <c r="C29" s="324"/>
      <c r="D29" s="324"/>
      <c r="E29" s="2"/>
      <c r="F29" s="324" t="s">
        <v>24</v>
      </c>
      <c r="G29" s="324"/>
      <c r="H29" s="324"/>
      <c r="I29" s="324"/>
    </row>
    <row r="30" customHeight="1" spans="1:10">
      <c r="C30" s="290"/>
      <c r="D30" s="2"/>
      <c r="E30" s="2"/>
      <c r="F30" s="290"/>
      <c r="G30" s="290"/>
      <c r="H30" s="290"/>
      <c r="I30" s="2"/>
    </row>
    <row r="31" customHeight="1" spans="1:10">
      <c r="A31" s="290" t="s">
        <v>25</v>
      </c>
      <c r="B31" s="322">
        <f>'[1]School Profile'!F49</f>
        <v>0</v>
      </c>
      <c r="C31" s="322"/>
      <c r="D31" s="322"/>
      <c r="E31" s="2"/>
      <c r="F31" s="290" t="s">
        <v>25</v>
      </c>
      <c r="G31" s="323"/>
      <c r="H31" s="323"/>
      <c r="I31" s="323"/>
    </row>
    <row r="32" customHeight="1" spans="1:10">
      <c r="A32" s="289"/>
      <c r="B32" s="289"/>
      <c r="E32" s="2"/>
      <c r="F32" s="2"/>
      <c r="G32" s="2"/>
    </row>
    <row r="35" customHeight="1" spans="4:7">
      <c r="D35" s="318" t="s">
        <v>26</v>
      </c>
      <c r="E35" s="319"/>
      <c r="F35" s="319"/>
      <c r="G35" s="320"/>
    </row>
    <row r="36" customHeight="1" spans="4:7">
      <c r="D36" s="290">
        <f>'[1]School Profile'!R47</f>
        <v>0</v>
      </c>
      <c r="E36" s="290"/>
      <c r="F36" s="290"/>
      <c r="G36" s="290"/>
    </row>
    <row r="37" customHeight="1" spans="4:7">
      <c r="D37" s="322"/>
      <c r="E37" s="322"/>
      <c r="F37" s="322"/>
      <c r="G37" s="322"/>
    </row>
    <row r="38" customHeight="1" spans="4:7">
      <c r="D38" s="324" t="s">
        <v>24</v>
      </c>
      <c r="E38" s="324"/>
      <c r="F38" s="324"/>
      <c r="G38" s="324"/>
    </row>
    <row r="39" customHeight="1" spans="4:7">
      <c r="D39" s="2"/>
      <c r="E39" s="2"/>
      <c r="F39" s="2"/>
      <c r="G39" s="2"/>
    </row>
    <row r="40" customHeight="1" spans="4:7">
      <c r="D40" s="2"/>
      <c r="E40" s="2"/>
      <c r="F40" s="2"/>
      <c r="G40" s="2"/>
    </row>
    <row r="44" customHeight="1" spans="4:7">
      <c r="D44" s="2"/>
      <c r="E44" s="2"/>
      <c r="F44" s="2"/>
      <c r="G44" s="2"/>
    </row>
    <row r="45" customHeight="1" spans="4:7">
      <c r="D45" s="2"/>
      <c r="E45" s="2"/>
      <c r="F45" s="2"/>
      <c r="G45" s="2"/>
    </row>
    <row r="46" customHeight="1" spans="4:7">
      <c r="D46" s="2"/>
      <c r="E46" s="2"/>
      <c r="F46" s="2"/>
      <c r="G46" s="2"/>
    </row>
    <row r="47" customHeight="1" spans="4:7">
      <c r="D47" s="2"/>
      <c r="E47" s="2"/>
      <c r="F47" s="2"/>
      <c r="G47" s="2"/>
    </row>
    <row r="54" customHeight="1" spans="2:5">
      <c r="B54" s="2"/>
      <c r="C54" s="2"/>
      <c r="D54" s="2"/>
      <c r="E54" s="2"/>
    </row>
    <row r="55" customHeight="1" spans="2:5">
      <c r="B55" s="2"/>
      <c r="C55" s="2"/>
      <c r="D55" s="2"/>
      <c r="E55" s="2"/>
    </row>
    <row r="56" customHeight="1" spans="2:5">
      <c r="B56" s="2"/>
      <c r="C56" s="2"/>
      <c r="D56" s="2"/>
      <c r="E56" s="2"/>
    </row>
    <row r="57" customHeight="1" spans="2:5">
      <c r="B57" s="2"/>
      <c r="C57" s="2"/>
      <c r="D57" s="2"/>
      <c r="E57" s="2"/>
    </row>
    <row r="58" customHeight="1" spans="2:5">
      <c r="B58" s="2"/>
      <c r="C58" s="2"/>
      <c r="D58" s="2"/>
      <c r="E58" s="2"/>
    </row>
    <row r="59" customHeight="1" spans="2:5">
      <c r="B59" s="2"/>
      <c r="C59" s="2"/>
      <c r="D59" s="2"/>
      <c r="E59" s="2"/>
    </row>
    <row r="60" customHeight="1" spans="2:5">
      <c r="B60" s="2"/>
      <c r="C60" s="2"/>
      <c r="D60" s="2"/>
      <c r="E60" s="2"/>
    </row>
  </sheetData>
  <sheetProtection algorithmName="SHA-512" hashValue="3eWb0wzurasE4KGwFjae42cs6cvtw7AiekBjJXmsQ3nvJQMjlU9Be6HRrOYIdOxv5/m51klnLkTJKtHrsBHRfg==" saltValue="n/pFXqbU1gt7wOdvqMFRUA==" spinCount="100000" sheet="1" objects="1" scenarios="1"/>
  <protectedRanges>
    <protectedRange sqref="F27 G31" name="Part IX. School Health"/>
  </protectedRanges>
  <mergeCells count="29">
    <mergeCell ref="B4:I4"/>
    <mergeCell ref="D5:G5"/>
    <mergeCell ref="A7:J7"/>
    <mergeCell ref="C8:I8"/>
    <mergeCell ref="C9:I9"/>
    <mergeCell ref="A10:J10"/>
    <mergeCell ref="C11:I11"/>
    <mergeCell ref="C12:I12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  <mergeCell ref="C22:I22"/>
    <mergeCell ref="C23:I23"/>
    <mergeCell ref="C24:I24"/>
    <mergeCell ref="A29:D29"/>
    <mergeCell ref="F29:I29"/>
    <mergeCell ref="B31:D31"/>
    <mergeCell ref="G31:I31"/>
    <mergeCell ref="D38:G38"/>
    <mergeCell ref="A1:J2"/>
    <mergeCell ref="A27:D28"/>
    <mergeCell ref="F27:I28"/>
    <mergeCell ref="D36:G37"/>
  </mergeCells>
  <printOptions horizontalCentered="1"/>
  <pageMargins left="0.15748031496063" right="0.15748031496063" top="0.15748031496063" bottom="0.31496062992126" header="0.31496062992126" footer="0.15748031496063"/>
  <pageSetup paperSize="9" scale="97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F09A"/>
  </sheetPr>
  <dimension ref="A1:BA73"/>
  <sheetViews>
    <sheetView showGridLines="0" view="pageBreakPreview" zoomScale="112" zoomScaleNormal="100" workbookViewId="0">
      <selection activeCell="N12" sqref="N12"/>
    </sheetView>
  </sheetViews>
  <sheetFormatPr defaultColWidth="2.18181818181818" defaultRowHeight="12" customHeight="1"/>
  <cols>
    <col min="1" max="2" width="0.272727272727273" style="2" customWidth="1"/>
    <col min="3" max="17" width="2.18181818181818" style="2"/>
    <col min="18" max="18" width="2.18181818181818" style="2" customWidth="1"/>
    <col min="19" max="20" width="2.18181818181818" style="2"/>
    <col min="21" max="22" width="2.18181818181818" style="2" customWidth="1"/>
    <col min="23" max="25" width="2.18181818181818" style="2"/>
    <col min="26" max="26" width="2.18181818181818" style="2" customWidth="1"/>
    <col min="27" max="29" width="2.18181818181818" style="2"/>
    <col min="30" max="30" width="2.18181818181818" style="2" customWidth="1"/>
    <col min="31" max="33" width="2.18181818181818" style="2"/>
    <col min="34" max="34" width="2.18181818181818" style="2" customWidth="1"/>
    <col min="35" max="37" width="2.18181818181818" style="2"/>
    <col min="38" max="38" width="2.18181818181818" style="2" customWidth="1"/>
    <col min="39" max="41" width="2.18181818181818" style="2"/>
    <col min="42" max="42" width="2.18181818181818" style="2" customWidth="1"/>
    <col min="43" max="45" width="2.18181818181818" style="2"/>
    <col min="46" max="46" width="2.18181818181818" style="2" customWidth="1"/>
    <col min="47" max="47" width="2.18181818181818" style="2"/>
    <col min="48" max="48" width="2.18181818181818" style="280" customWidth="1"/>
    <col min="49" max="49" width="0.818181818181818" style="2" customWidth="1"/>
    <col min="50" max="50" width="0.272727272727273" style="2" customWidth="1"/>
    <col min="51" max="53" width="2.18181818181818" style="2" customWidth="1"/>
    <col min="54" max="16384" width="2.18181818181818" style="2"/>
  </cols>
  <sheetData>
    <row r="1" customHeight="1" spans="1:53">
      <c r="A1" s="3" t="s">
        <v>27</v>
      </c>
      <c r="B1" s="3"/>
      <c r="C1" s="181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115"/>
      <c r="AW1" s="4"/>
      <c r="AX1" s="4"/>
      <c r="AY1" s="4"/>
      <c r="AZ1" s="4"/>
      <c r="BA1" s="4"/>
    </row>
    <row r="2" customHeight="1" spans="1:53">
      <c r="A2" s="3" t="s">
        <v>28</v>
      </c>
      <c r="B2" s="3"/>
      <c r="C2" s="18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115"/>
      <c r="AW2" s="4"/>
      <c r="AX2" s="4"/>
      <c r="AY2" s="4"/>
      <c r="AZ2" s="4"/>
      <c r="BA2" s="4"/>
    </row>
    <row r="3" customHeight="1" spans="1:53">
      <c r="A3" s="6" t="s">
        <v>29</v>
      </c>
      <c r="B3" s="6"/>
      <c r="C3" s="181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115"/>
      <c r="AW3" s="4"/>
      <c r="AX3" s="4"/>
      <c r="AY3" s="4"/>
      <c r="AZ3" s="4"/>
      <c r="BA3" s="4"/>
    </row>
    <row r="4" ht="4" customHeight="1" spans="1:5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115"/>
      <c r="AW4" s="4"/>
      <c r="AX4" s="4"/>
      <c r="AY4" s="4"/>
      <c r="AZ4" s="4"/>
      <c r="BA4" s="4"/>
    </row>
    <row r="5" ht="4" customHeight="1" spans="1:53">
      <c r="A5" s="4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281"/>
      <c r="AW5" s="10"/>
      <c r="AX5" s="4"/>
      <c r="AY5" s="4"/>
      <c r="AZ5" s="4"/>
      <c r="BA5" s="4"/>
    </row>
    <row r="6" customHeight="1" spans="1:53">
      <c r="A6" s="4"/>
      <c r="B6" s="11"/>
      <c r="C6" s="4" t="s">
        <v>30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115"/>
      <c r="AW6" s="21"/>
      <c r="AX6" s="4"/>
      <c r="AY6" s="4"/>
      <c r="AZ6" s="4"/>
      <c r="BA6" s="4"/>
    </row>
    <row r="7" ht="4" customHeight="1" spans="1:53">
      <c r="A7" s="4"/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115"/>
      <c r="AW7" s="21"/>
      <c r="AX7" s="4"/>
      <c r="AY7" s="4"/>
      <c r="AZ7" s="4"/>
      <c r="BA7" s="4"/>
    </row>
    <row r="8" customHeight="1" spans="1:53">
      <c r="A8" s="4"/>
      <c r="B8" s="11"/>
      <c r="C8" s="4"/>
      <c r="D8" s="4"/>
      <c r="E8" s="4" t="s">
        <v>31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37" t="b">
        <v>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115"/>
      <c r="AW8" s="21"/>
      <c r="AX8" s="4"/>
      <c r="AY8" s="4"/>
      <c r="AZ8" s="4"/>
      <c r="BA8" s="4"/>
    </row>
    <row r="9" customHeight="1" spans="1:53">
      <c r="A9" s="4"/>
      <c r="B9" s="11"/>
      <c r="C9" s="4"/>
      <c r="D9" s="4"/>
      <c r="E9" s="4" t="s">
        <v>32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37" t="b">
        <v>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115"/>
      <c r="AW9" s="21"/>
      <c r="AX9" s="4"/>
      <c r="AY9" s="4"/>
      <c r="AZ9" s="4"/>
      <c r="BA9" s="4"/>
    </row>
    <row r="10" customHeight="1" spans="1:53">
      <c r="A10" s="4"/>
      <c r="B10" s="11"/>
      <c r="C10" s="4"/>
      <c r="D10" s="4"/>
      <c r="E10" s="4" t="s">
        <v>33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37" t="b">
        <v>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115"/>
      <c r="AW10" s="21"/>
      <c r="AX10" s="4"/>
      <c r="AY10" s="4"/>
      <c r="AZ10" s="4"/>
      <c r="BA10" s="4"/>
    </row>
    <row r="11" customHeight="1" spans="1:53">
      <c r="A11" s="4"/>
      <c r="B11" s="11"/>
      <c r="C11" s="4"/>
      <c r="D11" s="4"/>
      <c r="E11" s="4" t="s">
        <v>34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37" t="b">
        <v>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115"/>
      <c r="AW11" s="21"/>
      <c r="AX11" s="4"/>
      <c r="AY11" s="4"/>
      <c r="AZ11" s="4"/>
      <c r="BA11" s="4"/>
    </row>
    <row r="12" ht="6" customHeight="1" spans="1:53">
      <c r="A12" s="4"/>
      <c r="B12" s="11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115"/>
      <c r="AW12" s="21"/>
      <c r="AX12" s="4"/>
      <c r="AY12" s="4"/>
      <c r="AZ12" s="4"/>
      <c r="BA12" s="4"/>
    </row>
    <row r="13" customHeight="1" spans="1:53">
      <c r="A13" s="4"/>
      <c r="B13" s="11"/>
      <c r="C13" s="4" t="s">
        <v>35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115"/>
      <c r="AW13" s="21"/>
      <c r="AX13" s="4"/>
      <c r="AY13" s="4"/>
      <c r="AZ13" s="4"/>
      <c r="BA13" s="4"/>
    </row>
    <row r="14" ht="4" customHeight="1" spans="1:53">
      <c r="A14" s="4"/>
      <c r="B14" s="1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115"/>
      <c r="AW14" s="21"/>
      <c r="AX14" s="4"/>
      <c r="AY14" s="4"/>
      <c r="AZ14" s="4"/>
      <c r="BA14" s="4"/>
    </row>
    <row r="15" customHeight="1" spans="1:53">
      <c r="A15" s="4"/>
      <c r="B15" s="11"/>
      <c r="C15" s="4"/>
      <c r="D15" s="104" t="s">
        <v>36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37" t="s">
        <v>37</v>
      </c>
      <c r="Q15" s="137"/>
      <c r="R15" s="137"/>
      <c r="S15" s="137"/>
      <c r="T15" s="137" t="s">
        <v>38</v>
      </c>
      <c r="U15" s="137"/>
      <c r="V15" s="137"/>
      <c r="W15" s="137"/>
      <c r="X15" s="137" t="s">
        <v>39</v>
      </c>
      <c r="Y15" s="137"/>
      <c r="Z15" s="137"/>
      <c r="AA15" s="137"/>
      <c r="AB15" s="104" t="s">
        <v>40</v>
      </c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15"/>
      <c r="AW15" s="21"/>
      <c r="AX15" s="4"/>
      <c r="AY15" s="4"/>
      <c r="AZ15" s="4"/>
      <c r="BA15" s="4"/>
    </row>
    <row r="16" customHeight="1" spans="1:53">
      <c r="A16" s="4"/>
      <c r="B16" s="11"/>
      <c r="C16" s="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 t="s">
        <v>41</v>
      </c>
      <c r="AC16" s="137"/>
      <c r="AD16" s="137"/>
      <c r="AE16" s="137"/>
      <c r="AF16" s="137" t="s">
        <v>42</v>
      </c>
      <c r="AG16" s="137"/>
      <c r="AH16" s="137"/>
      <c r="AI16" s="137"/>
      <c r="AJ16" s="137" t="s">
        <v>43</v>
      </c>
      <c r="AK16" s="137"/>
      <c r="AL16" s="137"/>
      <c r="AM16" s="137"/>
      <c r="AN16" s="137" t="s">
        <v>44</v>
      </c>
      <c r="AO16" s="137"/>
      <c r="AP16" s="137"/>
      <c r="AQ16" s="138"/>
      <c r="AR16" s="282" t="s">
        <v>45</v>
      </c>
      <c r="AS16" s="137"/>
      <c r="AT16" s="137"/>
      <c r="AU16" s="137"/>
      <c r="AV16" s="115"/>
      <c r="AW16" s="21"/>
      <c r="AX16" s="4"/>
      <c r="AY16" s="4"/>
      <c r="AZ16" s="4"/>
      <c r="BA16" s="4"/>
    </row>
    <row r="17" customHeight="1" spans="1:53">
      <c r="A17" s="4"/>
      <c r="B17" s="11"/>
      <c r="C17" s="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8"/>
      <c r="AR17" s="282"/>
      <c r="AS17" s="137"/>
      <c r="AT17" s="137"/>
      <c r="AU17" s="137"/>
      <c r="AV17" s="115"/>
      <c r="AW17" s="21"/>
      <c r="AX17" s="4"/>
      <c r="AY17" s="4"/>
      <c r="AZ17" s="4"/>
      <c r="BA17" s="4"/>
    </row>
    <row r="18" customHeight="1" spans="1:53">
      <c r="A18" s="4"/>
      <c r="B18" s="11"/>
      <c r="C18" s="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8"/>
      <c r="AR18" s="282"/>
      <c r="AS18" s="137"/>
      <c r="AT18" s="137"/>
      <c r="AU18" s="137"/>
      <c r="AV18" s="115"/>
      <c r="AW18" s="21"/>
      <c r="AX18" s="4"/>
      <c r="AY18" s="4"/>
      <c r="AZ18" s="4"/>
      <c r="BA18" s="4"/>
    </row>
    <row r="19" customHeight="1" spans="1:53">
      <c r="A19" s="4"/>
      <c r="B19" s="11"/>
      <c r="C19" s="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8"/>
      <c r="AR19" s="282"/>
      <c r="AS19" s="137"/>
      <c r="AT19" s="137"/>
      <c r="AU19" s="137"/>
      <c r="AV19" s="115"/>
      <c r="AW19" s="21"/>
      <c r="AX19" s="4"/>
      <c r="AY19" s="4"/>
      <c r="AZ19" s="4"/>
      <c r="BA19" s="4"/>
    </row>
    <row r="20" customHeight="1" spans="1:53">
      <c r="A20" s="4"/>
      <c r="B20" s="11"/>
      <c r="C20" s="4"/>
      <c r="D20" s="283" t="s">
        <v>46</v>
      </c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3"/>
      <c r="AN20" s="283"/>
      <c r="AO20" s="283"/>
      <c r="AP20" s="283"/>
      <c r="AQ20" s="283"/>
      <c r="AR20" s="283"/>
      <c r="AS20" s="283"/>
      <c r="AT20" s="283"/>
      <c r="AU20" s="283"/>
      <c r="AV20" s="115"/>
      <c r="AW20" s="21"/>
      <c r="AX20" s="4"/>
      <c r="AY20" s="4"/>
      <c r="AZ20" s="4"/>
      <c r="BA20" s="4"/>
    </row>
    <row r="21" customHeight="1" spans="1:53">
      <c r="A21" s="4"/>
      <c r="B21" s="11"/>
      <c r="C21" s="4"/>
      <c r="D21" s="238" t="s">
        <v>47</v>
      </c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6"/>
      <c r="AR21" s="50">
        <f>SUM(AB21,AF21,AJ21,AN21)</f>
        <v>0</v>
      </c>
      <c r="AS21" s="51"/>
      <c r="AT21" s="51"/>
      <c r="AU21" s="51"/>
      <c r="AV21" s="115" t="str">
        <f>IF(N('IX. Box 1'!lhas_na_learners_screening_es)&gt;N('IX. Box 1'!lhas_na_learners_masterlist_es),"Error: The number of learners who underwent screening shall not be greater than those masterlisted.",IF(N('IX. Box 1'!lhas_na_learners_assessed_es)&gt;N('IX. Box 1'!lhas_na_learners_screening_es),"Error: The number of learners with findings shall not be greater than those who underwent screening.",IF((N('IX. Box 1'!lhas_na_facility_es)+N('IX. Box 1'!lhas_na_lgudoh_es)+N('IX. Box 1'!lhas_na_private_es)+N('IX. Box 1'!lhas_na_others_es))&gt;N('IX. Box 1'!lhas_na_learners_assessed_es),"Error: The sum of learners referred (a+b+c+d) shall not be greater than those assessed with findings.","")))</f>
        <v/>
      </c>
      <c r="AW21" s="21"/>
      <c r="AX21" s="4"/>
      <c r="AY21" s="4"/>
      <c r="AZ21" s="4"/>
      <c r="BA21" s="4"/>
    </row>
    <row r="22" customHeight="1" spans="1:53">
      <c r="A22" s="4"/>
      <c r="B22" s="11"/>
      <c r="C22" s="4"/>
      <c r="D22" s="220" t="s">
        <v>48</v>
      </c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1"/>
      <c r="Q22" s="222"/>
      <c r="R22" s="222"/>
      <c r="S22" s="223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6"/>
      <c r="AR22" s="50">
        <f>SUM(AB22,AF22,AJ22,AN22)</f>
        <v>0</v>
      </c>
      <c r="AS22" s="51"/>
      <c r="AT22" s="51"/>
      <c r="AU22" s="51"/>
      <c r="AV22" s="115"/>
      <c r="AW22" s="21"/>
      <c r="AX22" s="4"/>
      <c r="AY22" s="4"/>
      <c r="AZ22" s="4"/>
      <c r="BA22" s="4"/>
    </row>
    <row r="23" customHeight="1" spans="1:53">
      <c r="A23" s="4"/>
      <c r="B23" s="11"/>
      <c r="C23" s="4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9"/>
      <c r="Q23" s="230"/>
      <c r="R23" s="230"/>
      <c r="S23" s="231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6"/>
      <c r="AR23" s="50"/>
      <c r="AS23" s="51"/>
      <c r="AT23" s="51"/>
      <c r="AU23" s="51"/>
      <c r="AV23" s="115" t="str">
        <f>IF(N('IX. Box 1'!lhas_hhighta_learners_screening_es)&gt;N('IX. Box 1'!lhas_hhighta_learners_masterlist_es),"Error: The number of learners who underwent screening shall not be greater than those masterlisted.",IF(N('IX. Box 1'!lhas_hhighta_learners_assessed_es)&gt;N('IX. Box 1'!lhas_hhighta_learners_screening_es),"Error: The number of learners with findings shall not be greater than those who underwent screening.",IF((N('IX. Box 1'!lhas_hhighta_facility_es)+N('IX. Box 1'!lhas_hhighta_lgudoh_es)+N('IX. Box 1'!lhas_hhighta_private_es)+N('IX. Box 1'!lhas_hhighta_others_es))&gt;N('IX. Box 1'!lhas_hhighta_learners_assessed_es),"Error: The sum of learners referred (a+b+c+d) shall not be greater than those assessed with findings.","")))</f>
        <v/>
      </c>
      <c r="AW23" s="21"/>
      <c r="AX23" s="4"/>
      <c r="AY23" s="4"/>
      <c r="AZ23" s="4"/>
      <c r="BA23" s="4"/>
    </row>
    <row r="24" customHeight="1" spans="1:53">
      <c r="A24" s="4"/>
      <c r="B24" s="11"/>
      <c r="C24" s="4"/>
      <c r="D24" s="238" t="s">
        <v>49</v>
      </c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6"/>
      <c r="AR24" s="50">
        <f>SUM(AB24,AF24,AJ24,AN24)</f>
        <v>0</v>
      </c>
      <c r="AS24" s="51"/>
      <c r="AT24" s="51"/>
      <c r="AU24" s="51"/>
      <c r="AV24" s="115" t="str">
        <f>IF(N('IX. Box 1'!lhas_vs_learners_screening_es)&gt;N('IX. Box 1'!lhas_vs_learners_masterlist_es),"Error: The number of learners who underwent screening shall not be greater than those masterlisted.",IF(N('IX. Box 1'!lhas_vs_learners_assessed_es)&gt;N('IX. Box 1'!lhas_vs_learners_screening_es),"Error: The number of learners with findings shall not be greater than those who underwent screening.",IF((N('IX. Box 1'!lhas_vs_facility_es)+N('IX. Box 1'!lhas_vs_lgudoh_es)+N('IX. Box 1'!lhas_vs_private_es)+N('IX. Box 1'!lhas_vs_others_es))&gt;N('IX. Box 1'!lhas_vs_learners_assessed_es),"Error: The sum of learners referred (a+b+c+d) shall not be greater than those assessed with findings.","")))</f>
        <v/>
      </c>
      <c r="AW24" s="21"/>
      <c r="AX24" s="4"/>
      <c r="AY24" s="4"/>
      <c r="AZ24" s="4"/>
      <c r="BA24" s="4"/>
    </row>
    <row r="25" customHeight="1" spans="1:53">
      <c r="A25" s="4"/>
      <c r="B25" s="11"/>
      <c r="C25" s="4"/>
      <c r="D25" s="238" t="s">
        <v>50</v>
      </c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6"/>
      <c r="AR25" s="50">
        <f>SUM(AB25,AF25,AJ25,AN25)</f>
        <v>0</v>
      </c>
      <c r="AS25" s="51"/>
      <c r="AT25" s="51"/>
      <c r="AU25" s="51"/>
      <c r="AV25" s="115" t="str">
        <f>IF(N('IX. Box 1'!lhas_hs_learners_screening_es)&gt;N('IX. Box 1'!lhas_hs_learners_masterlist_es),"Error: The number of learners who underwent screening shall not be greater than those masterlisted.",IF(N('IX. Box 1'!lhas_hs_learners_assessed_es)&gt;N('IX. Box 1'!lhas_hs_learners_screening_es),"Error: The number of learners with findings shall not be greater than those who underwent screening.",IF((N('IX. Box 1'!lhas_hs_facility_es)+N('IX. Box 1'!lhas_hs_lgudoh_es)+N('IX. Box 1'!lhas_hs_private_es)+N('IX. Box 1'!lhas_hs_others_es))&gt;N('IX. Box 1'!lhas_hs_learners_assessed_es),"Error: The sum of learners referred (a+b+c+d) shall not be greater than those assessed with findings.","")))</f>
        <v/>
      </c>
      <c r="AW25" s="21"/>
      <c r="AX25" s="4"/>
      <c r="AY25" s="4"/>
      <c r="AZ25" s="4"/>
      <c r="BA25" s="4"/>
    </row>
    <row r="26" customHeight="1" spans="1:53">
      <c r="A26" s="4"/>
      <c r="B26" s="11"/>
      <c r="C26" s="4"/>
      <c r="D26" s="238" t="s">
        <v>51</v>
      </c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6"/>
      <c r="AR26" s="50">
        <f>SUM(AB26,AF26,AJ26,AN26)</f>
        <v>0</v>
      </c>
      <c r="AS26" s="51"/>
      <c r="AT26" s="51"/>
      <c r="AU26" s="51"/>
      <c r="AV26" s="115" t="str">
        <f>IF(N('IX. Box 1'!lhas_oha_learners_screening_es)&gt;N('IX. Box 1'!lhas_oha_learners_masterlist_es),"Error: The number of learners who underwent screening shall not be greater than those masterlisted.",IF(N('IX. Box 1'!lhas_oha_learners_assessed_es)&gt;N('IX. Box 1'!lhas_oha_learners_screening_es),"Error: The number of learners with findings shall not be greater than those who underwent screening.",IF((N('IX. Box 1'!lhas_oha_facility_es)+N('IX. Box 1'!lhas_oha_lgudoh_es)+N('IX. Box 1'!lhas_oha_private_es)+N('IX. Box 1'!lhas_oha_others_es))&gt;N('IX. Box 1'!lhas_oha_learners_assessed_es),"Error: The sum of learners referred (a+b+c+d) shall not be greater than those assessed with findings.","")))</f>
        <v/>
      </c>
      <c r="AW26" s="21"/>
      <c r="AX26" s="4"/>
      <c r="AY26" s="4"/>
      <c r="AZ26" s="4"/>
      <c r="BA26" s="4"/>
    </row>
    <row r="27" customHeight="1" spans="1:53">
      <c r="A27" s="4"/>
      <c r="B27" s="11"/>
      <c r="C27" s="4"/>
      <c r="D27" s="220" t="s">
        <v>52</v>
      </c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6"/>
      <c r="AR27" s="50">
        <f>SUM(AB27,AF27,AJ27,AN27)</f>
        <v>0</v>
      </c>
      <c r="AS27" s="51"/>
      <c r="AT27" s="51"/>
      <c r="AU27" s="51"/>
      <c r="AV27" s="115"/>
      <c r="AW27" s="21"/>
      <c r="AX27" s="4"/>
      <c r="AY27" s="4"/>
      <c r="AZ27" s="4"/>
      <c r="BA27" s="4"/>
    </row>
    <row r="28" customHeight="1" spans="1:53">
      <c r="A28" s="4"/>
      <c r="B28" s="11"/>
      <c r="C28" s="4"/>
      <c r="D28" s="220"/>
      <c r="E28" s="220"/>
      <c r="F28" s="220"/>
      <c r="G28" s="220"/>
      <c r="H28" s="220"/>
      <c r="I28" s="220"/>
      <c r="J28" s="220"/>
      <c r="K28" s="220"/>
      <c r="L28" s="220"/>
      <c r="M28" s="220"/>
      <c r="N28" s="220"/>
      <c r="O28" s="220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6"/>
      <c r="AR28" s="50"/>
      <c r="AS28" s="51"/>
      <c r="AT28" s="51"/>
      <c r="AU28" s="51"/>
      <c r="AV28" s="115" t="str">
        <f>IF(N('IX. Box 1'!lhas_cars_learners_screening_es)&gt;N('IX. Box 1'!lhas_cars_learners_masterlist_es),"Error: The number of learners who underwent screening shall not be greater than those masterlisted.",IF(N('IX. Box 1'!lhas_cars_learners_assessed_es)&gt;N('IX. Box 1'!lhas_cars_learners_screening_es),"Error: The number of learners with findings shall not be greater than those who underwent screening.",IF((N('IX. Box 1'!lhas_cars_facility_es)+N('IX. Box 1'!lhas_cars_lgudoh_es)+N('IX. Box 1'!lhas_cars_private_es)+N('IX. Box 1'!lhas_cars_others_es))&gt;N('IX. Box 1'!lhas_cars_learners_assessed_es),"Error: The sum of learners referred (a+b+c+d) shall not be greater than those assessed with findings.","")))</f>
        <v/>
      </c>
      <c r="AW28" s="21"/>
      <c r="AX28" s="4"/>
      <c r="AY28" s="4"/>
      <c r="AZ28" s="4"/>
      <c r="BA28" s="4"/>
    </row>
    <row r="29" customHeight="1" spans="1:53">
      <c r="A29" s="4"/>
      <c r="B29" s="11"/>
      <c r="C29" s="4"/>
      <c r="D29" s="220" t="s">
        <v>53</v>
      </c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6"/>
      <c r="AR29" s="50">
        <f>SUM(AB29,AF29,AJ29,AN29)</f>
        <v>0</v>
      </c>
      <c r="AS29" s="51"/>
      <c r="AT29" s="51"/>
      <c r="AU29" s="51"/>
      <c r="AV29" s="115"/>
      <c r="AW29" s="21"/>
      <c r="AX29" s="4"/>
      <c r="AY29" s="4"/>
      <c r="AZ29" s="4"/>
      <c r="BA29" s="4"/>
    </row>
    <row r="30" customHeight="1" spans="1:53">
      <c r="A30" s="4"/>
      <c r="B30" s="11"/>
      <c r="C30" s="4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6"/>
      <c r="AR30" s="50"/>
      <c r="AS30" s="51"/>
      <c r="AT30" s="51"/>
      <c r="AU30" s="51"/>
      <c r="AV30" s="115"/>
      <c r="AW30" s="21"/>
      <c r="AX30" s="4"/>
      <c r="AY30" s="4"/>
      <c r="AZ30" s="4"/>
      <c r="BA30" s="4"/>
    </row>
    <row r="31" customHeight="1" spans="1:53">
      <c r="A31" s="4"/>
      <c r="B31" s="11"/>
      <c r="C31" s="4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6"/>
      <c r="AR31" s="50"/>
      <c r="AS31" s="51"/>
      <c r="AT31" s="51"/>
      <c r="AU31" s="51"/>
      <c r="AV31" s="115"/>
      <c r="AW31" s="21"/>
      <c r="AX31" s="4"/>
      <c r="AY31" s="4"/>
      <c r="AZ31" s="4"/>
      <c r="BA31" s="4"/>
    </row>
    <row r="32" customHeight="1" spans="1:53">
      <c r="A32" s="4"/>
      <c r="B32" s="11"/>
      <c r="C32" s="4"/>
      <c r="D32" s="284"/>
      <c r="E32" s="284"/>
      <c r="F32" s="284"/>
      <c r="G32" s="284"/>
      <c r="H32" s="284"/>
      <c r="I32" s="284"/>
      <c r="J32" s="284"/>
      <c r="K32" s="284"/>
      <c r="L32" s="284"/>
      <c r="M32" s="284"/>
      <c r="N32" s="284"/>
      <c r="O32" s="284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85"/>
      <c r="AB32" s="285"/>
      <c r="AC32" s="285"/>
      <c r="AD32" s="285"/>
      <c r="AE32" s="285"/>
      <c r="AF32" s="285"/>
      <c r="AG32" s="285"/>
      <c r="AH32" s="285"/>
      <c r="AI32" s="285"/>
      <c r="AJ32" s="285"/>
      <c r="AK32" s="285"/>
      <c r="AL32" s="285"/>
      <c r="AM32" s="285"/>
      <c r="AN32" s="285"/>
      <c r="AO32" s="285"/>
      <c r="AP32" s="285"/>
      <c r="AQ32" s="221"/>
      <c r="AR32" s="208"/>
      <c r="AS32" s="209"/>
      <c r="AT32" s="209"/>
      <c r="AU32" s="209"/>
      <c r="AV32" s="115" t="str">
        <f>IF(N('IX. Box 1'!lhas_heeadsss_learners_screening_es)&gt;N('IX. Box 1'!lhas_heeadsss_learners_masterlist_es),"Error: The number of learners who underwent screening shall not be greater than those masterlisted.",IF(N('IX. Box 1'!lhas_heeadsss_learners_assessed_es)&gt;N('IX. Box 1'!lhas_heeadsss_learners_screening_es),"Error: The number of learners with findings shall not be greater than those who underwent screening.",IF((N('IX. Box 1'!lhas_heeadsss_facility_es)+N('IX. Box 1'!lhas_heeadsss_lgudoh_es)+N('IX. Box 1'!lhas_heeadsss_private_es)+N('IX. Box 1'!lhas_heeadsss_others_es))&gt;N('IX. Box 1'!lhas_heeadsss_learners_assessed_es),"Error: The sum of learners referred (a+b+c+d) shall not be greater than those assessed with findings.","")))</f>
        <v/>
      </c>
      <c r="AW32" s="21"/>
      <c r="AX32" s="4"/>
      <c r="AY32" s="4"/>
      <c r="AZ32" s="4"/>
      <c r="BA32" s="4"/>
    </row>
    <row r="33" customHeight="1" spans="1:53">
      <c r="A33" s="4"/>
      <c r="B33" s="11"/>
      <c r="C33" s="4"/>
      <c r="D33" s="286" t="s">
        <v>54</v>
      </c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00">
        <f>SUM(P21:S32)</f>
        <v>0</v>
      </c>
      <c r="Q33" s="200"/>
      <c r="R33" s="200"/>
      <c r="S33" s="200"/>
      <c r="T33" s="200">
        <f>SUM(T21:W32)</f>
        <v>0</v>
      </c>
      <c r="U33" s="200"/>
      <c r="V33" s="200"/>
      <c r="W33" s="200"/>
      <c r="X33" s="200">
        <f>SUM(X21:AA32)</f>
        <v>0</v>
      </c>
      <c r="Y33" s="200"/>
      <c r="Z33" s="200"/>
      <c r="AA33" s="200"/>
      <c r="AB33" s="200">
        <f>SUM(AB21:AE32)</f>
        <v>0</v>
      </c>
      <c r="AC33" s="200"/>
      <c r="AD33" s="200"/>
      <c r="AE33" s="200"/>
      <c r="AF33" s="200">
        <f>SUM(AF21:AI32)</f>
        <v>0</v>
      </c>
      <c r="AG33" s="200"/>
      <c r="AH33" s="200"/>
      <c r="AI33" s="200"/>
      <c r="AJ33" s="200">
        <f>SUM(AJ21:AM32)</f>
        <v>0</v>
      </c>
      <c r="AK33" s="200"/>
      <c r="AL33" s="200"/>
      <c r="AM33" s="200"/>
      <c r="AN33" s="200">
        <f>SUM(AN21:AQ32)</f>
        <v>0</v>
      </c>
      <c r="AO33" s="200"/>
      <c r="AP33" s="200"/>
      <c r="AQ33" s="201"/>
      <c r="AR33" s="202">
        <f>SUM(AR21:AU32)</f>
        <v>0</v>
      </c>
      <c r="AS33" s="200"/>
      <c r="AT33" s="200"/>
      <c r="AU33" s="200"/>
      <c r="AV33" s="115"/>
      <c r="AW33" s="21"/>
      <c r="AX33" s="4"/>
      <c r="AY33" s="4"/>
      <c r="AZ33" s="4"/>
      <c r="BA33" s="4"/>
    </row>
    <row r="34" customHeight="1" spans="1:53">
      <c r="A34" s="4"/>
      <c r="B34" s="11"/>
      <c r="C34" s="4"/>
      <c r="D34" s="287" t="s">
        <v>55</v>
      </c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7"/>
      <c r="P34" s="287"/>
      <c r="Q34" s="287"/>
      <c r="R34" s="287"/>
      <c r="S34" s="287"/>
      <c r="T34" s="287"/>
      <c r="U34" s="287"/>
      <c r="V34" s="287"/>
      <c r="W34" s="287"/>
      <c r="X34" s="287"/>
      <c r="Y34" s="287"/>
      <c r="Z34" s="287"/>
      <c r="AA34" s="287"/>
      <c r="AB34" s="287"/>
      <c r="AC34" s="287"/>
      <c r="AD34" s="287"/>
      <c r="AE34" s="287"/>
      <c r="AF34" s="287"/>
      <c r="AG34" s="287"/>
      <c r="AH34" s="287"/>
      <c r="AI34" s="287"/>
      <c r="AJ34" s="287"/>
      <c r="AK34" s="287"/>
      <c r="AL34" s="287"/>
      <c r="AM34" s="287"/>
      <c r="AN34" s="287"/>
      <c r="AO34" s="287"/>
      <c r="AP34" s="287"/>
      <c r="AQ34" s="287"/>
      <c r="AR34" s="287"/>
      <c r="AS34" s="287"/>
      <c r="AT34" s="287"/>
      <c r="AU34" s="287"/>
      <c r="AV34" s="115"/>
      <c r="AW34" s="21"/>
      <c r="AX34" s="4"/>
      <c r="AY34" s="4"/>
      <c r="AZ34" s="4"/>
      <c r="BA34" s="4"/>
    </row>
    <row r="35" customHeight="1" spans="1:53">
      <c r="A35" s="4"/>
      <c r="B35" s="11"/>
      <c r="C35" s="4"/>
      <c r="D35" s="238" t="s">
        <v>47</v>
      </c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6"/>
      <c r="AR35" s="50">
        <f>SUM(AB35,AF35,AJ35,AN35)</f>
        <v>0</v>
      </c>
      <c r="AS35" s="51"/>
      <c r="AT35" s="51"/>
      <c r="AU35" s="51"/>
      <c r="AV35" s="115" t="str">
        <f>IF(N('IX. Box 1'!lhas_na_learners_screening_jhs)&gt;N('IX. Box 1'!lhas_na_learners_masterlist_jhs),"Error: The number of learners who underwent screening shall not be greater than those masterlisted.",IF(N('IX. Box 1'!lhas_na_learners_assessed_jhs)&gt;N('IX. Box 1'!lhas_na_learners_screening_jhs),"Error: The number of learners with findings shall not be greater than those who underwent screening.",IF((N('IX. Box 1'!lhas_na_facility_jhs)+N('IX. Box 1'!lhas_na_lgudoh_jhs)+N('IX. Box 1'!lhas_na_private_jhs)+N('IX. Box 1'!lhas_na_others_jhs))&gt;N('IX. Box 1'!lhas_na_learners_assessed_jhs),"Error: The sum of learners referred (a+b+c+d) shall not be greater than those assessed with findings.","")))</f>
        <v/>
      </c>
      <c r="AW35" s="21"/>
      <c r="AX35" s="4"/>
      <c r="AY35" s="4"/>
      <c r="AZ35" s="4"/>
      <c r="BA35" s="4"/>
    </row>
    <row r="36" customHeight="1" spans="1:53">
      <c r="A36" s="4"/>
      <c r="B36" s="11"/>
      <c r="C36" s="4"/>
      <c r="D36" s="220" t="s">
        <v>48</v>
      </c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6"/>
      <c r="AR36" s="50">
        <f>SUM(AB36,AF36,AJ36,AN36)</f>
        <v>0</v>
      </c>
      <c r="AS36" s="51"/>
      <c r="AT36" s="51"/>
      <c r="AU36" s="51"/>
      <c r="AV36" s="115"/>
      <c r="AW36" s="21"/>
      <c r="AX36" s="4"/>
      <c r="AY36" s="4"/>
      <c r="AZ36" s="4"/>
      <c r="BA36" s="4"/>
    </row>
    <row r="37" customHeight="1" spans="1:53">
      <c r="A37" s="4"/>
      <c r="B37" s="11"/>
      <c r="C37" s="4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6"/>
      <c r="AR37" s="50"/>
      <c r="AS37" s="51"/>
      <c r="AT37" s="51"/>
      <c r="AU37" s="51"/>
      <c r="AV37" s="115" t="str">
        <f>IF(N('IX. Box 1'!lhas_hhighta_learners_screening_jhs)&gt;N('IX. Box 1'!lhas_hhighta_learners_masterlist_jhs),"Error: The number of learners who underwent screening shall not be greater than those masterlisted.",IF(N('IX. Box 1'!lhas_hhighta_learners_assessed_jhs)&gt;N('IX. Box 1'!lhas_hhighta_learners_screening_jhs),"Error: The number of learners with findings shall not be greater than those who underwent screening.",IF((N('IX. Box 1'!lhas_hhighta_facility_jhs)+N('IX. Box 1'!lhas_hhighta_lgudoh_jhs)+N('IX. Box 1'!lhas_hhighta_private_jhs)+N('IX. Box 1'!lhas_hhighta_others_jhs))&gt;N('IX. Box 1'!lhas_hhighta_learners_assessed_jhs),"Error: The sum of learners referred (a+b+c+d) shall not be greater than those assessed with findings.","")))</f>
        <v/>
      </c>
      <c r="AW37" s="21"/>
      <c r="AX37" s="4"/>
      <c r="AY37" s="4"/>
      <c r="AZ37" s="4"/>
      <c r="BA37" s="4"/>
    </row>
    <row r="38" customHeight="1" spans="1:53">
      <c r="A38" s="4"/>
      <c r="B38" s="11"/>
      <c r="C38" s="4"/>
      <c r="D38" s="238" t="s">
        <v>49</v>
      </c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6"/>
      <c r="AR38" s="50">
        <f>SUM(AB38,AF38,AJ38,AN38)</f>
        <v>0</v>
      </c>
      <c r="AS38" s="51"/>
      <c r="AT38" s="51"/>
      <c r="AU38" s="51"/>
      <c r="AV38" s="115" t="str">
        <f>IF(N('IX. Box 1'!lhas_vs_learners_screening_jhs)&gt;N('IX. Box 1'!lhas_vs_learners_masterlist_jhs),"Error: The number of learners who underwent screening shall not be greater than those masterlisted.",IF(N('IX. Box 1'!lhas_vs_learners_assessed_jhs)&gt;N('IX. Box 1'!lhas_vs_learners_screening_jhs),"Error: The number of learners with findings shall not be greater than those who underwent screening.",IF((N('IX. Box 1'!lhas_vs_facility_jhs)+N('IX. Box 1'!lhas_vs_lgudoh_jhs)+N('IX. Box 1'!lhas_vs_private_jhs)+N('IX. Box 1'!lhas_vs_others_jhs))&gt;N('IX. Box 1'!lhas_vs_learners_assessed_jhs),"Error: The sum of learners referred (a+b+c+d) shall not be greater than those assessed with findings.","")))</f>
        <v/>
      </c>
      <c r="AW38" s="21"/>
      <c r="AX38" s="4"/>
      <c r="AY38" s="4"/>
      <c r="AZ38" s="4"/>
      <c r="BA38" s="4"/>
    </row>
    <row r="39" customHeight="1" spans="1:53">
      <c r="A39" s="4"/>
      <c r="B39" s="11"/>
      <c r="C39" s="4"/>
      <c r="D39" s="238" t="s">
        <v>50</v>
      </c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8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6"/>
      <c r="AR39" s="50">
        <f>SUM(AB39,AF39,AJ39,AN39)</f>
        <v>0</v>
      </c>
      <c r="AS39" s="51"/>
      <c r="AT39" s="51"/>
      <c r="AU39" s="51"/>
      <c r="AV39" s="115" t="str">
        <f>IF(N('IX. Box 1'!lhas_hs_learners_screening_jhs)&gt;N('IX. Box 1'!lhas_hs_learners_masterlist_jhs),"Error: The number of learners who underwent screening shall not be greater than those masterlisted.",IF(N('IX. Box 1'!lhas_hs_learners_assessed_jhs)&gt;N('IX. Box 1'!lhas_hs_learners_screening_jhs),"Error: The number of learners with findings shall not be greater than those who underwent screening.",IF((N('IX. Box 1'!lhas_hs_facility_jhs)+N('IX. Box 1'!lhas_hs_lgudoh_jhs)+N('IX. Box 1'!lhas_hs_private_jhs)+N('IX. Box 1'!lhas_hs_others_jhs))&gt;N('IX. Box 1'!lhas_hs_learners_assessed_jhs),"Error: The sum of learners referred (a+b+c+d) shall not be greater than those assessed with findings.","")))</f>
        <v/>
      </c>
      <c r="AW39" s="21"/>
      <c r="AX39" s="4"/>
      <c r="AY39" s="4"/>
      <c r="AZ39" s="4"/>
      <c r="BA39" s="4"/>
    </row>
    <row r="40" customHeight="1" spans="1:53">
      <c r="A40" s="4"/>
      <c r="B40" s="11"/>
      <c r="C40" s="4"/>
      <c r="D40" s="238" t="s">
        <v>51</v>
      </c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6"/>
      <c r="AR40" s="50">
        <f>SUM(AB40,AF40,AJ40,AN40)</f>
        <v>0</v>
      </c>
      <c r="AS40" s="51"/>
      <c r="AT40" s="51"/>
      <c r="AU40" s="51"/>
      <c r="AV40" s="115" t="str">
        <f>IF(N('IX. Box 1'!lhas_oha_learners_screening_jhs)&gt;N('IX. Box 1'!lhas_oha_learners_masterlist_jhs),"Error: The number of learners who underwent screening shall not be greater than those masterlisted.",IF(N('IX. Box 1'!lhas_oha_learners_assessed_jhs)&gt;N('IX. Box 1'!lhas_oha_learners_screening_jhs),"Error: The number of learners with findings shall not be greater than those who underwent screening.",IF((N('IX. Box 1'!lhas_oha_facility_jhs)+N('IX. Box 1'!lhas_oha_lgudoh_jhs)+N('IX. Box 1'!lhas_oha_private_jhs)+N('IX. Box 1'!lhas_oha_others_jhs))&gt;N('IX. Box 1'!lhas_oha_learners_assessed_jhs),"Error: The sum of learners referred (a+b+c+d) shall not be greater than those assessed with findings.","")))</f>
        <v/>
      </c>
      <c r="AW40" s="21"/>
      <c r="AX40" s="4"/>
      <c r="AY40" s="4"/>
      <c r="AZ40" s="4"/>
      <c r="BA40" s="4"/>
    </row>
    <row r="41" customHeight="1" spans="1:53">
      <c r="A41" s="4"/>
      <c r="B41" s="11"/>
      <c r="C41" s="4"/>
      <c r="D41" s="220" t="s">
        <v>52</v>
      </c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6"/>
      <c r="AR41" s="50">
        <f>SUM(AB41,AF41,AJ41,AN41)</f>
        <v>0</v>
      </c>
      <c r="AS41" s="51"/>
      <c r="AT41" s="51"/>
      <c r="AU41" s="51"/>
      <c r="AV41" s="115"/>
      <c r="AW41" s="21"/>
      <c r="AX41" s="4"/>
      <c r="AY41" s="4"/>
      <c r="AZ41" s="4"/>
      <c r="BA41" s="4"/>
    </row>
    <row r="42" customHeight="1" spans="1:53">
      <c r="A42" s="4"/>
      <c r="B42" s="11"/>
      <c r="C42" s="4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6"/>
      <c r="AR42" s="50"/>
      <c r="AS42" s="51"/>
      <c r="AT42" s="51"/>
      <c r="AU42" s="51"/>
      <c r="AV42" s="115" t="str">
        <f>IF(N('IX. Box 1'!lhas_cars_learners_screening_jhs)&gt;N('IX. Box 1'!lhas_cars_learners_masterlist_jhs),"Error: The number of learners who underwent screening shall not be greater than those masterlisted.",IF(N('IX. Box 1'!lhas_cars_learners_assessed_jhs)&gt;N('IX. Box 1'!lhas_cars_learners_screening_jhs),"Error: The number of learners with findings shall not be greater than those who underwent screening.",IF((N('IX. Box 1'!lhas_cars_facility_jhs)+N('IX. Box 1'!lhas_cars_lgudoh_jhs)+N('IX. Box 1'!lhas_cars_private_jhs)+N('IX. Box 1'!lhas_cars_others_jhs))&gt;N('IX. Box 1'!lhas_cars_learners_assessed_jhs),"Error: The sum of learners referred (a+b+c+d) shall not be greater than those assessed with findings.","")))</f>
        <v/>
      </c>
      <c r="AW42" s="21"/>
      <c r="AX42" s="4"/>
      <c r="AY42" s="4"/>
      <c r="AZ42" s="4"/>
      <c r="BA42" s="4"/>
    </row>
    <row r="43" customHeight="1" spans="1:53">
      <c r="A43" s="4"/>
      <c r="B43" s="11"/>
      <c r="C43" s="4"/>
      <c r="D43" s="220" t="s">
        <v>53</v>
      </c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6"/>
      <c r="AR43" s="50">
        <f>SUM(AB43,AF43,AJ43,AN43)</f>
        <v>0</v>
      </c>
      <c r="AS43" s="51"/>
      <c r="AT43" s="51"/>
      <c r="AU43" s="51"/>
      <c r="AV43" s="115"/>
      <c r="AW43" s="21"/>
      <c r="AX43" s="4"/>
      <c r="AY43" s="4"/>
      <c r="AZ43" s="4"/>
      <c r="BA43" s="4"/>
    </row>
    <row r="44" customHeight="1" spans="1:53">
      <c r="A44" s="4"/>
      <c r="B44" s="11"/>
      <c r="C44" s="4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6"/>
      <c r="AR44" s="50"/>
      <c r="AS44" s="51"/>
      <c r="AT44" s="51"/>
      <c r="AU44" s="51"/>
      <c r="AV44" s="115"/>
      <c r="AW44" s="21"/>
      <c r="AX44" s="4"/>
      <c r="AY44" s="4"/>
      <c r="AZ44" s="4"/>
      <c r="BA44" s="4"/>
    </row>
    <row r="45" customHeight="1" spans="1:53">
      <c r="A45" s="4"/>
      <c r="B45" s="11"/>
      <c r="C45" s="4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6"/>
      <c r="AR45" s="50"/>
      <c r="AS45" s="51"/>
      <c r="AT45" s="51"/>
      <c r="AU45" s="51"/>
      <c r="AV45" s="115"/>
      <c r="AW45" s="21"/>
      <c r="AX45" s="4"/>
      <c r="AY45" s="4"/>
      <c r="AZ45" s="4"/>
      <c r="BA45" s="4"/>
    </row>
    <row r="46" customHeight="1" spans="1:53">
      <c r="A46" s="4"/>
      <c r="B46" s="11"/>
      <c r="C46" s="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5"/>
      <c r="AE46" s="285"/>
      <c r="AF46" s="285"/>
      <c r="AG46" s="285"/>
      <c r="AH46" s="285"/>
      <c r="AI46" s="285"/>
      <c r="AJ46" s="285"/>
      <c r="AK46" s="285"/>
      <c r="AL46" s="285"/>
      <c r="AM46" s="285"/>
      <c r="AN46" s="285"/>
      <c r="AO46" s="285"/>
      <c r="AP46" s="285"/>
      <c r="AQ46" s="221"/>
      <c r="AR46" s="208"/>
      <c r="AS46" s="209"/>
      <c r="AT46" s="209"/>
      <c r="AU46" s="209"/>
      <c r="AV46" s="115" t="str">
        <f>IF(N('IX. Box 1'!lhas_heeadsss_learners_screening_jhs)&gt;N('IX. Box 1'!lhas_heeadsss_learners_masterlist_jhs),"Error: The number of learners who underwent screening shall not be greater than those masterlisted.",IF(N('IX. Box 1'!lhas_heeadsss_learners_assessed_jhs)&gt;N('IX. Box 1'!lhas_heeadsss_learners_screening_jhs),"Error: The number of learners with findings shall not be greater than those who underwent screening.",IF((N('IX. Box 1'!lhas_heeadsss_facility_jhs)+N('IX. Box 1'!lhas_heeadsss_lgudoh_jhs)+N('IX. Box 1'!lhas_heeadsss_private_jhs)+N('IX. Box 1'!lhas_heeadsss_others_jhs))&gt;N('IX. Box 1'!lhas_heeadsss_learners_assessed_jhs),"Error: The sum of learners referred (a+b+c+d) shall not be greater than those assessed with findings.","")))</f>
        <v/>
      </c>
      <c r="AW46" s="21"/>
      <c r="AX46" s="4"/>
      <c r="AY46" s="4"/>
      <c r="AZ46" s="4"/>
      <c r="BA46" s="4"/>
    </row>
    <row r="47" customHeight="1" spans="1:53">
      <c r="A47" s="4"/>
      <c r="B47" s="11"/>
      <c r="C47" s="4"/>
      <c r="D47" s="286" t="s">
        <v>54</v>
      </c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00">
        <f>SUM(P35:S46)</f>
        <v>0</v>
      </c>
      <c r="Q47" s="200"/>
      <c r="R47" s="200"/>
      <c r="S47" s="200"/>
      <c r="T47" s="200">
        <f>SUM(T35:W46)</f>
        <v>0</v>
      </c>
      <c r="U47" s="200"/>
      <c r="V47" s="200"/>
      <c r="W47" s="200"/>
      <c r="X47" s="200">
        <f>SUM(X35:AA46)</f>
        <v>0</v>
      </c>
      <c r="Y47" s="200"/>
      <c r="Z47" s="200"/>
      <c r="AA47" s="200"/>
      <c r="AB47" s="200">
        <f>SUM(AB35:AE46)</f>
        <v>0</v>
      </c>
      <c r="AC47" s="200"/>
      <c r="AD47" s="200"/>
      <c r="AE47" s="200"/>
      <c r="AF47" s="200">
        <f>SUM(AF35:AI46)</f>
        <v>0</v>
      </c>
      <c r="AG47" s="200"/>
      <c r="AH47" s="200"/>
      <c r="AI47" s="200"/>
      <c r="AJ47" s="200">
        <f>SUM(AJ35:AM46)</f>
        <v>0</v>
      </c>
      <c r="AK47" s="200"/>
      <c r="AL47" s="200"/>
      <c r="AM47" s="200"/>
      <c r="AN47" s="200">
        <f>SUM(AN35:AQ46)</f>
        <v>0</v>
      </c>
      <c r="AO47" s="200"/>
      <c r="AP47" s="200"/>
      <c r="AQ47" s="201"/>
      <c r="AR47" s="202">
        <f>SUM(AR35:AU46)</f>
        <v>0</v>
      </c>
      <c r="AS47" s="200"/>
      <c r="AT47" s="200"/>
      <c r="AU47" s="200"/>
      <c r="AV47" s="115"/>
      <c r="AW47" s="21"/>
      <c r="AX47" s="4"/>
      <c r="AY47" s="4"/>
      <c r="AZ47" s="4"/>
      <c r="BA47" s="4"/>
    </row>
    <row r="48" customHeight="1" spans="1:53">
      <c r="A48" s="4"/>
      <c r="B48" s="11"/>
      <c r="C48" s="4"/>
      <c r="D48" s="287" t="s">
        <v>56</v>
      </c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  <c r="AI48" s="287"/>
      <c r="AJ48" s="287"/>
      <c r="AK48" s="287"/>
      <c r="AL48" s="287"/>
      <c r="AM48" s="287"/>
      <c r="AN48" s="287"/>
      <c r="AO48" s="287"/>
      <c r="AP48" s="287"/>
      <c r="AQ48" s="287"/>
      <c r="AR48" s="287"/>
      <c r="AS48" s="287"/>
      <c r="AT48" s="287"/>
      <c r="AU48" s="287"/>
      <c r="AV48" s="115"/>
      <c r="AW48" s="21"/>
      <c r="AX48" s="4"/>
      <c r="AY48" s="4"/>
      <c r="AZ48" s="4"/>
      <c r="BA48" s="4"/>
    </row>
    <row r="49" customHeight="1" spans="1:53">
      <c r="A49" s="4"/>
      <c r="B49" s="11"/>
      <c r="C49" s="4"/>
      <c r="D49" s="238" t="s">
        <v>47</v>
      </c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6"/>
      <c r="AR49" s="50">
        <f>SUM(AB49,AF49,AJ49,AN49)</f>
        <v>0</v>
      </c>
      <c r="AS49" s="51"/>
      <c r="AT49" s="51"/>
      <c r="AU49" s="51"/>
      <c r="AV49" s="115" t="str">
        <f>IF(N('IX. Box 1'!lhas_na_learners_screening_shs)&gt;N('IX. Box 1'!lhas_na_learners_masterlist_shs),"Error: The number of learners who underwent screening shall not be greater than those masterlisted.",IF(N('IX. Box 1'!lhas_na_learners_assessed_shs)&gt;N('IX. Box 1'!lhas_na_learners_screening_shs),"Error: The number of learners with findings shall not be greater than those who underwent screening.",IF((N('IX. Box 1'!lhas_na_facility_shs)+N('IX. Box 1'!lhas_na_lgudoh_shs)+N('IX. Box 1'!lhas_na_private_shs)+N('IX. Box 1'!lhas_na_others_shs))&gt;N('IX. Box 1'!lhas_na_learners_assessed_shs),"Error: The sum of learners referred (a+b+c+d) shall not be greater than those assessed with findings.","")))</f>
        <v/>
      </c>
      <c r="AW49" s="21"/>
      <c r="AX49" s="4"/>
      <c r="AY49" s="4"/>
      <c r="AZ49" s="4"/>
      <c r="BA49" s="4"/>
    </row>
    <row r="50" customHeight="1" spans="1:53">
      <c r="A50" s="4"/>
      <c r="B50" s="11"/>
      <c r="C50" s="4"/>
      <c r="D50" s="220" t="s">
        <v>48</v>
      </c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6"/>
      <c r="AR50" s="50">
        <f>SUM(AB50,AF50,AJ50,AN50)</f>
        <v>0</v>
      </c>
      <c r="AS50" s="51"/>
      <c r="AT50" s="51"/>
      <c r="AU50" s="51"/>
      <c r="AV50" s="115"/>
      <c r="AW50" s="21"/>
      <c r="AX50" s="4"/>
      <c r="AY50" s="4"/>
      <c r="AZ50" s="4"/>
      <c r="BA50" s="4"/>
    </row>
    <row r="51" customHeight="1" spans="1:53">
      <c r="A51" s="4"/>
      <c r="B51" s="11"/>
      <c r="C51" s="4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6"/>
      <c r="AR51" s="50"/>
      <c r="AS51" s="51"/>
      <c r="AT51" s="51"/>
      <c r="AU51" s="51"/>
      <c r="AV51" s="115" t="str">
        <f>IF(N('IX. Box 1'!lhas_hhighta_learners_screening_shs)&gt;N('IX. Box 1'!lhas_hhighta_learners_masterlist_shs),"Error: The number of learners who underwent screening shall not be greater than those masterlisted.",IF(N('IX. Box 1'!lhas_hhighta_learners_assessed_shs)&gt;N('IX. Box 1'!lhas_hhighta_learners_screening_shs),"Error: The number of learners with findings shall not be greater than those who underwent screening.",IF((N('IX. Box 1'!lhas_hhighta_facility_shs)+N('IX. Box 1'!lhas_hhighta_lgudoh_shs)+N('IX. Box 1'!lhas_hhighta_private_shs)+N('IX. Box 1'!lhas_hhighta_others_shs))&gt;N('IX. Box 1'!lhas_hhighta_learners_assessed_shs),"Error: The sum of learners referred (a+b+c+d) shall not be greater than those assessed with findings.","")))</f>
        <v/>
      </c>
      <c r="AW51" s="21"/>
      <c r="AX51" s="4"/>
      <c r="AY51" s="4"/>
      <c r="AZ51" s="4"/>
      <c r="BA51" s="4"/>
    </row>
    <row r="52" customHeight="1" spans="1:53">
      <c r="A52" s="4"/>
      <c r="B52" s="11"/>
      <c r="C52" s="4"/>
      <c r="D52" s="238" t="s">
        <v>49</v>
      </c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6"/>
      <c r="AR52" s="50">
        <f>SUM(AB52,AF52,AJ52,AN52)</f>
        <v>0</v>
      </c>
      <c r="AS52" s="51"/>
      <c r="AT52" s="51"/>
      <c r="AU52" s="51"/>
      <c r="AV52" s="115" t="str">
        <f>IF(N('IX. Box 1'!lhas_vs_learners_screening_shs)&gt;N('IX. Box 1'!lhas_vs_learners_masterlist_shs),"Error: The number of learners who underwent screening shall not be greater than those masterlisted.",IF(N('IX. Box 1'!lhas_vs_learners_assessed_shs)&gt;N('IX. Box 1'!lhas_vs_learners_screening_shs),"Error: The number of learners with findings shall not be greater than those who underwent screening.",IF((N('IX. Box 1'!lhas_vs_facility_shs)+N('IX. Box 1'!lhas_vs_lgudoh_shs)+N('IX. Box 1'!lhas_vs_private_shs)+N('IX. Box 1'!lhas_vs_others_shs))&gt;N('IX. Box 1'!lhas_vs_learners_assessed_shs),"Error: The sum of learners referred (a+b+c+d) shall not be greater than those assessed with findings.","")))</f>
        <v/>
      </c>
      <c r="AW52" s="21"/>
      <c r="AX52" s="4"/>
      <c r="AY52" s="4"/>
      <c r="AZ52" s="4"/>
      <c r="BA52" s="4"/>
    </row>
    <row r="53" customHeight="1" spans="1:53">
      <c r="A53" s="4"/>
      <c r="B53" s="11"/>
      <c r="C53" s="4"/>
      <c r="D53" s="238" t="s">
        <v>50</v>
      </c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6"/>
      <c r="AR53" s="50">
        <f>SUM(AB53,AF53,AJ53,AN53)</f>
        <v>0</v>
      </c>
      <c r="AS53" s="51"/>
      <c r="AT53" s="51"/>
      <c r="AU53" s="51"/>
      <c r="AV53" s="115" t="str">
        <f>IF(N('IX. Box 1'!lhas_hs_learners_screening_shs)&gt;N('IX. Box 1'!lhas_hs_learners_masterlist_shs),"Error: The number of learners who underwent screening shall not be greater than those masterlisted.",IF(N('IX. Box 1'!lhas_hs_learners_assessed_shs)&gt;N('IX. Box 1'!lhas_hs_learners_screening_shs),"Error: The number of learners with findings shall not be greater than those who underwent screening.",IF((N('IX. Box 1'!lhas_hs_facility_shs)+N('IX. Box 1'!lhas_hs_lgudoh_shs)+N('IX. Box 1'!lhas_hs_private_shs)+N('IX. Box 1'!lhas_hs_others_shs))&gt;N('IX. Box 1'!lhas_hs_learners_assessed_shs),"Error: The sum of learners referred (a+b+c+d) shall not be greater than those assessed with findings.","")))</f>
        <v/>
      </c>
      <c r="AW53" s="21"/>
      <c r="AX53" s="4"/>
      <c r="AY53" s="4"/>
      <c r="AZ53" s="4"/>
      <c r="BA53" s="4"/>
    </row>
    <row r="54" customHeight="1" spans="1:53">
      <c r="A54" s="4"/>
      <c r="B54" s="11"/>
      <c r="C54" s="4"/>
      <c r="D54" s="238" t="s">
        <v>51</v>
      </c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6"/>
      <c r="AR54" s="50">
        <f>SUM(AB54,AF54,AJ54,AN54)</f>
        <v>0</v>
      </c>
      <c r="AS54" s="51"/>
      <c r="AT54" s="51"/>
      <c r="AU54" s="51"/>
      <c r="AV54" s="115" t="str">
        <f>IF(N('IX. Box 1'!lhas_oha_learners_screening_shs)&gt;N('IX. Box 1'!lhas_oha_learners_masterlist_shs),"Error: The number of learners who underwent screening shall not be greater than those masterlisted.",IF(N('IX. Box 1'!lhas_oha_learners_assessed_shs)&gt;N('IX. Box 1'!lhas_oha_learners_screening_shs),"Error: The number of learners with findings shall not be greater than those who underwent screening.",IF((N('IX. Box 1'!lhas_oha_facility_shs)+N('IX. Box 1'!lhas_oha_lgudoh_shs)+N('IX. Box 1'!lhas_oha_private_shs)+N('IX. Box 1'!lhas_oha_others_shs))&gt;N('IX. Box 1'!lhas_oha_learners_assessed_shs),"Error: The sum of learners referred (a+b+c+d) shall not be greater than those assessed with findings.","")))</f>
        <v/>
      </c>
      <c r="AW54" s="21"/>
      <c r="AX54" s="4"/>
      <c r="AY54" s="4"/>
      <c r="AZ54" s="4"/>
      <c r="BA54" s="4"/>
    </row>
    <row r="55" customHeight="1" spans="1:53">
      <c r="A55" s="4"/>
      <c r="B55" s="11"/>
      <c r="C55" s="4"/>
      <c r="D55" s="220" t="s">
        <v>52</v>
      </c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6"/>
      <c r="AR55" s="50">
        <f>SUM(AB55,AF55,AJ55,AN55)</f>
        <v>0</v>
      </c>
      <c r="AS55" s="51"/>
      <c r="AT55" s="51"/>
      <c r="AU55" s="51"/>
      <c r="AV55" s="115"/>
      <c r="AW55" s="21"/>
      <c r="AX55" s="4"/>
      <c r="AY55" s="4"/>
      <c r="AZ55" s="4"/>
      <c r="BA55" s="4"/>
    </row>
    <row r="56" customHeight="1" spans="1:53">
      <c r="A56" s="4"/>
      <c r="B56" s="11"/>
      <c r="C56" s="4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6"/>
      <c r="AR56" s="50"/>
      <c r="AS56" s="51"/>
      <c r="AT56" s="51"/>
      <c r="AU56" s="51"/>
      <c r="AV56" s="115" t="str">
        <f>IF(N('IX. Box 1'!lhas_cars_learners_screening_shs)&gt;N('IX. Box 1'!lhas_cars_learners_masterlist_shs),"Error: The number of learners who underwent screening shall not be greater than those masterlisted.",IF(N('IX. Box 1'!lhas_cars_learners_assessed_shs)&gt;N('IX. Box 1'!lhas_cars_learners_screening_shs),"Error: The number of learners with findings shall not be greater than those who underwent screening.",IF((N('IX. Box 1'!lhas_cars_facility_shs)+N('IX. Box 1'!lhas_cars_lgudoh_shs)+N('IX. Box 1'!lhas_cars_private_shs)+N('IX. Box 1'!lhas_cars_others_shs))&gt;N('IX. Box 1'!lhas_cars_learners_assessed_shs),"Error: The sum of learners referred (a+b+c+d) shall not be greater than those assessed with findings.","")))</f>
        <v/>
      </c>
      <c r="AW56" s="21"/>
      <c r="AX56" s="4"/>
      <c r="AY56" s="4"/>
      <c r="AZ56" s="4"/>
      <c r="BA56" s="4"/>
    </row>
    <row r="57" customHeight="1" spans="1:53">
      <c r="A57" s="4"/>
      <c r="B57" s="11"/>
      <c r="C57" s="4"/>
      <c r="D57" s="220" t="s">
        <v>53</v>
      </c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6"/>
      <c r="AR57" s="50">
        <f>SUM(AB57,AF57,AJ57,AN57)</f>
        <v>0</v>
      </c>
      <c r="AS57" s="51"/>
      <c r="AT57" s="51"/>
      <c r="AU57" s="51"/>
      <c r="AV57" s="115"/>
      <c r="AW57" s="21"/>
      <c r="AX57" s="4"/>
      <c r="AY57" s="4"/>
      <c r="AZ57" s="4"/>
      <c r="BA57" s="4"/>
    </row>
    <row r="58" customHeight="1" spans="1:53">
      <c r="A58" s="4"/>
      <c r="B58" s="11"/>
      <c r="C58" s="4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6"/>
      <c r="AR58" s="50"/>
      <c r="AS58" s="51"/>
      <c r="AT58" s="51"/>
      <c r="AU58" s="51"/>
      <c r="AV58" s="115"/>
      <c r="AW58" s="21"/>
      <c r="AX58" s="4"/>
      <c r="AY58" s="4"/>
      <c r="AZ58" s="4"/>
      <c r="BA58" s="4"/>
    </row>
    <row r="59" customHeight="1" spans="1:53">
      <c r="A59" s="4"/>
      <c r="B59" s="11"/>
      <c r="C59" s="4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6"/>
      <c r="AR59" s="50"/>
      <c r="AS59" s="51"/>
      <c r="AT59" s="51"/>
      <c r="AU59" s="51"/>
      <c r="AV59" s="115"/>
      <c r="AW59" s="21"/>
      <c r="AX59" s="4"/>
      <c r="AY59" s="4"/>
      <c r="AZ59" s="4"/>
      <c r="BA59" s="4"/>
    </row>
    <row r="60" customHeight="1" spans="1:53">
      <c r="A60" s="4"/>
      <c r="B60" s="11"/>
      <c r="C60" s="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5"/>
      <c r="Q60" s="285"/>
      <c r="R60" s="285"/>
      <c r="S60" s="285"/>
      <c r="T60" s="285"/>
      <c r="U60" s="285"/>
      <c r="V60" s="285"/>
      <c r="W60" s="285"/>
      <c r="X60" s="285"/>
      <c r="Y60" s="285"/>
      <c r="Z60" s="285"/>
      <c r="AA60" s="285"/>
      <c r="AB60" s="285"/>
      <c r="AC60" s="285"/>
      <c r="AD60" s="285"/>
      <c r="AE60" s="285"/>
      <c r="AF60" s="285"/>
      <c r="AG60" s="285"/>
      <c r="AH60" s="285"/>
      <c r="AI60" s="285"/>
      <c r="AJ60" s="285"/>
      <c r="AK60" s="285"/>
      <c r="AL60" s="285"/>
      <c r="AM60" s="285"/>
      <c r="AN60" s="285"/>
      <c r="AO60" s="285"/>
      <c r="AP60" s="285"/>
      <c r="AQ60" s="221"/>
      <c r="AR60" s="208"/>
      <c r="AS60" s="209"/>
      <c r="AT60" s="209"/>
      <c r="AU60" s="209"/>
      <c r="AV60" s="115" t="str">
        <f>IF(N('IX. Box 1'!lhas_heeadsss_learners_screening_shs)&gt;N('IX. Box 1'!lhas_heeadsss_learners_masterlist_shs),"Error: The number of learners who underwent screening shall not be greater than those masterlisted.",IF(N('IX. Box 1'!lhas_heeadsss_learners_assessed_shs)&gt;N('IX. Box 1'!lhas_heeadsss_learners_screening_shs),"Error: The number of learners with findings shall not be greater than those who underwent screening.",IF((N('IX. Box 1'!lhas_heeadsss_facility_shs)+N('IX. Box 1'!lhas_heeadsss_lgudoh_shs)+N('IX. Box 1'!lhas_heeadsss_private_shs)+N('IX. Box 1'!lhas_heeadsss_others_shs))&gt;N('IX. Box 1'!lhas_heeadsss_learners_assessed_shs),"Error: The sum of learners referred (a+b+c+d) shall not be greater than those assessed with findings.","")))</f>
        <v/>
      </c>
      <c r="AW60" s="21"/>
      <c r="AX60" s="4"/>
      <c r="AY60" s="4"/>
      <c r="AZ60" s="4"/>
      <c r="BA60" s="4"/>
    </row>
    <row r="61" customHeight="1" spans="1:53">
      <c r="A61" s="4"/>
      <c r="B61" s="11"/>
      <c r="C61" s="4"/>
      <c r="D61" s="261" t="s">
        <v>54</v>
      </c>
      <c r="E61" s="261"/>
      <c r="F61" s="261"/>
      <c r="G61" s="261"/>
      <c r="H61" s="261"/>
      <c r="I61" s="261"/>
      <c r="J61" s="261"/>
      <c r="K61" s="261"/>
      <c r="L61" s="261"/>
      <c r="M61" s="261"/>
      <c r="N61" s="261"/>
      <c r="O61" s="261"/>
      <c r="P61" s="213">
        <f>SUM(P49:S60)</f>
        <v>0</v>
      </c>
      <c r="Q61" s="213"/>
      <c r="R61" s="213"/>
      <c r="S61" s="213"/>
      <c r="T61" s="213">
        <f>SUM(T49:W60)</f>
        <v>0</v>
      </c>
      <c r="U61" s="213"/>
      <c r="V61" s="213"/>
      <c r="W61" s="213"/>
      <c r="X61" s="213">
        <f>SUM(X49:AA60)</f>
        <v>0</v>
      </c>
      <c r="Y61" s="213"/>
      <c r="Z61" s="213"/>
      <c r="AA61" s="213"/>
      <c r="AB61" s="213">
        <f>SUM(AB49:AE60)</f>
        <v>0</v>
      </c>
      <c r="AC61" s="213"/>
      <c r="AD61" s="213"/>
      <c r="AE61" s="213"/>
      <c r="AF61" s="213">
        <f>SUM(AF49:AI60)</f>
        <v>0</v>
      </c>
      <c r="AG61" s="213"/>
      <c r="AH61" s="213"/>
      <c r="AI61" s="213"/>
      <c r="AJ61" s="213">
        <f>SUM(AJ49:AM60)</f>
        <v>0</v>
      </c>
      <c r="AK61" s="213"/>
      <c r="AL61" s="213"/>
      <c r="AM61" s="213"/>
      <c r="AN61" s="213">
        <f>SUM(AN49:AQ60)</f>
        <v>0</v>
      </c>
      <c r="AO61" s="213"/>
      <c r="AP61" s="213"/>
      <c r="AQ61" s="214"/>
      <c r="AR61" s="215">
        <f>SUM(AR49:AU60)</f>
        <v>0</v>
      </c>
      <c r="AS61" s="213"/>
      <c r="AT61" s="213"/>
      <c r="AU61" s="213"/>
      <c r="AV61" s="115"/>
      <c r="AW61" s="21"/>
      <c r="AX61" s="4"/>
      <c r="AY61" s="4"/>
      <c r="AZ61" s="4"/>
      <c r="BA61" s="4"/>
    </row>
    <row r="62" ht="4" customHeight="1" spans="1:53">
      <c r="A62" s="4"/>
      <c r="B62" s="28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288"/>
      <c r="AW62" s="61"/>
      <c r="AX62" s="4"/>
      <c r="AY62" s="4"/>
      <c r="AZ62" s="4"/>
      <c r="BA62" s="4"/>
    </row>
    <row r="63" ht="4" customHeight="1" spans="1:5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115"/>
      <c r="AW63" s="4"/>
      <c r="AX63" s="4"/>
      <c r="AY63" s="4"/>
      <c r="AZ63" s="4"/>
      <c r="BA63" s="4"/>
    </row>
    <row r="64" customHeight="1" spans="1:53">
      <c r="A64" s="4" t="s">
        <v>57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115"/>
      <c r="AW64" s="4"/>
      <c r="AX64" s="4"/>
      <c r="AY64" s="4"/>
      <c r="AZ64" s="4"/>
      <c r="BA64" s="4"/>
    </row>
    <row r="65" customHeight="1" spans="1:53">
      <c r="A65" s="4"/>
      <c r="B65" s="4"/>
      <c r="C65" s="4"/>
      <c r="D65" s="4" t="s">
        <v>58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115"/>
      <c r="AW65" s="4"/>
      <c r="AX65" s="4"/>
      <c r="AY65" s="4"/>
      <c r="AZ65" s="4"/>
      <c r="BA65" s="4"/>
    </row>
    <row r="66" ht="4" customHeight="1" spans="1:5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115"/>
      <c r="AW66" s="4"/>
      <c r="AX66" s="4"/>
      <c r="AY66" s="4"/>
      <c r="AZ66" s="4"/>
      <c r="BA66" s="4"/>
    </row>
    <row r="67" customHeight="1" spans="1:53">
      <c r="A67" s="85" t="s">
        <v>59</v>
      </c>
      <c r="B67" s="85"/>
      <c r="C67" s="4"/>
      <c r="D67" s="4"/>
      <c r="E67" s="4"/>
      <c r="F67" s="4"/>
      <c r="G67" s="4" t="s">
        <v>60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115"/>
      <c r="AW67" s="4"/>
      <c r="AX67" s="4"/>
      <c r="AY67" s="4"/>
      <c r="AZ67" s="4"/>
      <c r="BA67" s="4"/>
    </row>
    <row r="68" customHeight="1" spans="1:53">
      <c r="A68" s="4"/>
      <c r="B68" s="4"/>
      <c r="C68" s="4"/>
      <c r="D68" s="4"/>
      <c r="E68" s="4"/>
      <c r="F68" s="4"/>
      <c r="G68" s="4"/>
      <c r="H68" s="325" t="s">
        <v>61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115"/>
      <c r="AW68" s="4"/>
      <c r="AX68" s="4"/>
      <c r="AY68" s="4"/>
      <c r="AZ68" s="4"/>
      <c r="BA68" s="4"/>
    </row>
    <row r="69" customHeight="1" spans="1:53">
      <c r="A69" s="4"/>
      <c r="B69" s="4"/>
      <c r="C69" s="4"/>
      <c r="D69" s="4"/>
      <c r="E69" s="4"/>
      <c r="F69" s="4"/>
      <c r="G69" s="4"/>
      <c r="H69" s="325" t="s">
        <v>62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115"/>
      <c r="AW69" s="4"/>
      <c r="AX69" s="4"/>
      <c r="AY69" s="4"/>
      <c r="AZ69" s="4"/>
      <c r="BA69" s="4"/>
    </row>
    <row r="70" customHeight="1" spans="1:53">
      <c r="A70" s="4"/>
      <c r="B70" s="4"/>
      <c r="C70" s="4"/>
      <c r="D70" s="4"/>
      <c r="E70" s="4"/>
      <c r="F70" s="4"/>
      <c r="G70" s="4"/>
      <c r="H70" s="325" t="s">
        <v>63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115"/>
      <c r="AW70" s="4"/>
      <c r="AX70" s="4"/>
      <c r="AY70" s="4"/>
      <c r="AZ70" s="4"/>
      <c r="BA70" s="4"/>
    </row>
    <row r="71" customHeight="1" spans="1:53">
      <c r="A71" s="4"/>
      <c r="B71" s="4"/>
      <c r="C71" s="4"/>
      <c r="D71" s="4"/>
      <c r="E71" s="4"/>
      <c r="F71" s="4"/>
      <c r="G71" s="4" t="s">
        <v>64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115"/>
      <c r="AW71" s="4"/>
      <c r="AX71" s="4"/>
      <c r="AY71" s="4"/>
      <c r="AZ71" s="4"/>
      <c r="BA71" s="4"/>
    </row>
    <row r="72" ht="6" customHeight="1" spans="1:5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115"/>
      <c r="AW72" s="4"/>
      <c r="AX72" s="4"/>
      <c r="AY72" s="4"/>
      <c r="AZ72" s="4"/>
      <c r="BA72" s="4"/>
    </row>
    <row r="73" customHeight="1" spans="1:53">
      <c r="A73" s="85" t="s">
        <v>65</v>
      </c>
      <c r="B73" s="8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115"/>
      <c r="AW73" s="4"/>
      <c r="AX73" s="4"/>
      <c r="AY73" s="4"/>
      <c r="AZ73" s="4"/>
      <c r="BA73" s="4"/>
    </row>
  </sheetData>
  <sheetProtection algorithmName="SHA-512" hashValue="8qksDHlkkdGz8cI0Vd9iQyx3Bn4U6RyaCn0qBToMo2GIC049lV0zctSFqz6w3S6Cu1Wpid0nIBYt11XsJzOyzg==" saltValue="P4Q5f+RbbKobh0xwr3KpwA==" spinCount="100000" sheet="1" objects="1" scenarios="1"/>
  <protectedRanges>
    <protectedRange sqref="U8:U11 P21:AQ32 P35:AQ46 P49:AQ60" name="IX. Box 1"/>
  </protectedRanges>
  <mergeCells count="229">
    <mergeCell ref="AB15:AU15"/>
    <mergeCell ref="D20:AU20"/>
    <mergeCell ref="D21:O21"/>
    <mergeCell ref="P21:S21"/>
    <mergeCell ref="T21:W21"/>
    <mergeCell ref="X21:AA21"/>
    <mergeCell ref="AB21:AE21"/>
    <mergeCell ref="AF21:AI21"/>
    <mergeCell ref="AJ21:AM21"/>
    <mergeCell ref="AN21:AQ21"/>
    <mergeCell ref="AR21:AU21"/>
    <mergeCell ref="D24:O24"/>
    <mergeCell ref="P24:S24"/>
    <mergeCell ref="T24:W24"/>
    <mergeCell ref="X24:AA24"/>
    <mergeCell ref="AB24:AE24"/>
    <mergeCell ref="AF24:AI24"/>
    <mergeCell ref="AJ24:AM24"/>
    <mergeCell ref="AN24:AQ24"/>
    <mergeCell ref="AR24:AU24"/>
    <mergeCell ref="D25:O25"/>
    <mergeCell ref="P25:S25"/>
    <mergeCell ref="T25:W25"/>
    <mergeCell ref="X25:AA25"/>
    <mergeCell ref="AB25:AE25"/>
    <mergeCell ref="AF25:AI25"/>
    <mergeCell ref="AJ25:AM25"/>
    <mergeCell ref="AN25:AQ25"/>
    <mergeCell ref="AR25:AU25"/>
    <mergeCell ref="D26:O26"/>
    <mergeCell ref="P26:S26"/>
    <mergeCell ref="T26:W26"/>
    <mergeCell ref="X26:AA26"/>
    <mergeCell ref="AB26:AE26"/>
    <mergeCell ref="AF26:AI26"/>
    <mergeCell ref="AJ26:AM26"/>
    <mergeCell ref="AN26:AQ26"/>
    <mergeCell ref="AR26:AU26"/>
    <mergeCell ref="D33:O33"/>
    <mergeCell ref="P33:S33"/>
    <mergeCell ref="T33:W33"/>
    <mergeCell ref="X33:AA33"/>
    <mergeCell ref="AB33:AE33"/>
    <mergeCell ref="AF33:AI33"/>
    <mergeCell ref="AJ33:AM33"/>
    <mergeCell ref="AN33:AQ33"/>
    <mergeCell ref="AR33:AU33"/>
    <mergeCell ref="D34:AU34"/>
    <mergeCell ref="D35:O35"/>
    <mergeCell ref="P35:S35"/>
    <mergeCell ref="T35:W35"/>
    <mergeCell ref="X35:AA35"/>
    <mergeCell ref="AB35:AE35"/>
    <mergeCell ref="AF35:AI35"/>
    <mergeCell ref="AJ35:AM35"/>
    <mergeCell ref="AN35:AQ35"/>
    <mergeCell ref="AR35:AU35"/>
    <mergeCell ref="D38:O38"/>
    <mergeCell ref="P38:S38"/>
    <mergeCell ref="T38:W38"/>
    <mergeCell ref="X38:AA38"/>
    <mergeCell ref="AB38:AE38"/>
    <mergeCell ref="AF38:AI38"/>
    <mergeCell ref="AJ38:AM38"/>
    <mergeCell ref="AN38:AQ38"/>
    <mergeCell ref="AR38:AU38"/>
    <mergeCell ref="D39:O39"/>
    <mergeCell ref="P39:S39"/>
    <mergeCell ref="T39:W39"/>
    <mergeCell ref="X39:AA39"/>
    <mergeCell ref="AB39:AE39"/>
    <mergeCell ref="AF39:AI39"/>
    <mergeCell ref="AJ39:AM39"/>
    <mergeCell ref="AN39:AQ39"/>
    <mergeCell ref="AR39:AU39"/>
    <mergeCell ref="D40:O40"/>
    <mergeCell ref="P40:S40"/>
    <mergeCell ref="T40:W40"/>
    <mergeCell ref="X40:AA40"/>
    <mergeCell ref="AB40:AE40"/>
    <mergeCell ref="AF40:AI40"/>
    <mergeCell ref="AJ40:AM40"/>
    <mergeCell ref="AN40:AQ40"/>
    <mergeCell ref="AR40:AU40"/>
    <mergeCell ref="D47:O47"/>
    <mergeCell ref="P47:S47"/>
    <mergeCell ref="T47:W47"/>
    <mergeCell ref="X47:AA47"/>
    <mergeCell ref="AB47:AE47"/>
    <mergeCell ref="AF47:AI47"/>
    <mergeCell ref="AJ47:AM47"/>
    <mergeCell ref="AN47:AQ47"/>
    <mergeCell ref="AR47:AU47"/>
    <mergeCell ref="D48:AU48"/>
    <mergeCell ref="D49:O49"/>
    <mergeCell ref="P49:S49"/>
    <mergeCell ref="T49:W49"/>
    <mergeCell ref="X49:AA49"/>
    <mergeCell ref="AB49:AE49"/>
    <mergeCell ref="AF49:AI49"/>
    <mergeCell ref="AJ49:AM49"/>
    <mergeCell ref="AN49:AQ49"/>
    <mergeCell ref="AR49:AU49"/>
    <mergeCell ref="D52:O52"/>
    <mergeCell ref="P52:S52"/>
    <mergeCell ref="T52:W52"/>
    <mergeCell ref="X52:AA52"/>
    <mergeCell ref="AB52:AE52"/>
    <mergeCell ref="AF52:AI52"/>
    <mergeCell ref="AJ52:AM52"/>
    <mergeCell ref="AN52:AQ52"/>
    <mergeCell ref="AR52:AU52"/>
    <mergeCell ref="D53:O53"/>
    <mergeCell ref="P53:S53"/>
    <mergeCell ref="T53:W53"/>
    <mergeCell ref="X53:AA53"/>
    <mergeCell ref="AB53:AE53"/>
    <mergeCell ref="AF53:AI53"/>
    <mergeCell ref="AJ53:AM53"/>
    <mergeCell ref="AN53:AQ53"/>
    <mergeCell ref="AR53:AU53"/>
    <mergeCell ref="D54:O54"/>
    <mergeCell ref="P54:S54"/>
    <mergeCell ref="T54:W54"/>
    <mergeCell ref="X54:AA54"/>
    <mergeCell ref="AB54:AE54"/>
    <mergeCell ref="AF54:AI54"/>
    <mergeCell ref="AJ54:AM54"/>
    <mergeCell ref="AN54:AQ54"/>
    <mergeCell ref="AR54:AU54"/>
    <mergeCell ref="D61:O61"/>
    <mergeCell ref="P61:S61"/>
    <mergeCell ref="T61:W61"/>
    <mergeCell ref="X61:AA61"/>
    <mergeCell ref="AB61:AE61"/>
    <mergeCell ref="AF61:AI61"/>
    <mergeCell ref="AJ61:AM61"/>
    <mergeCell ref="AN61:AQ61"/>
    <mergeCell ref="AR61:AU61"/>
    <mergeCell ref="D15:O19"/>
    <mergeCell ref="P15:S19"/>
    <mergeCell ref="T15:W19"/>
    <mergeCell ref="X15:AA19"/>
    <mergeCell ref="AB16:AE19"/>
    <mergeCell ref="AF16:AI19"/>
    <mergeCell ref="AJ16:AM19"/>
    <mergeCell ref="AN16:AQ19"/>
    <mergeCell ref="AR16:AU19"/>
    <mergeCell ref="D22:O23"/>
    <mergeCell ref="P22:S23"/>
    <mergeCell ref="T22:W23"/>
    <mergeCell ref="X22:AA23"/>
    <mergeCell ref="AB22:AE23"/>
    <mergeCell ref="AF22:AI23"/>
    <mergeCell ref="AJ22:AM23"/>
    <mergeCell ref="AN22:AQ23"/>
    <mergeCell ref="AR22:AU23"/>
    <mergeCell ref="D27:O28"/>
    <mergeCell ref="P27:S28"/>
    <mergeCell ref="T27:W28"/>
    <mergeCell ref="X27:AA28"/>
    <mergeCell ref="AB27:AE28"/>
    <mergeCell ref="AF27:AI28"/>
    <mergeCell ref="AJ27:AM28"/>
    <mergeCell ref="AN27:AQ28"/>
    <mergeCell ref="AR27:AU28"/>
    <mergeCell ref="D29:O32"/>
    <mergeCell ref="P29:S32"/>
    <mergeCell ref="T29:W32"/>
    <mergeCell ref="X29:AA32"/>
    <mergeCell ref="AB29:AE32"/>
    <mergeCell ref="AF29:AI32"/>
    <mergeCell ref="AJ29:AM32"/>
    <mergeCell ref="AN29:AQ32"/>
    <mergeCell ref="AR29:AU32"/>
    <mergeCell ref="D36:O37"/>
    <mergeCell ref="P36:S37"/>
    <mergeCell ref="T36:W37"/>
    <mergeCell ref="X36:AA37"/>
    <mergeCell ref="AB36:AE37"/>
    <mergeCell ref="AF36:AI37"/>
    <mergeCell ref="AJ36:AM37"/>
    <mergeCell ref="AN36:AQ37"/>
    <mergeCell ref="AR36:AU37"/>
    <mergeCell ref="D41:O42"/>
    <mergeCell ref="P41:S42"/>
    <mergeCell ref="T41:W42"/>
    <mergeCell ref="X41:AA42"/>
    <mergeCell ref="AB41:AE42"/>
    <mergeCell ref="AF41:AI42"/>
    <mergeCell ref="AJ41:AM42"/>
    <mergeCell ref="AN41:AQ42"/>
    <mergeCell ref="AR41:AU42"/>
    <mergeCell ref="D43:O46"/>
    <mergeCell ref="P43:S46"/>
    <mergeCell ref="T43:W46"/>
    <mergeCell ref="X43:AA46"/>
    <mergeCell ref="AB43:AE46"/>
    <mergeCell ref="AF43:AI46"/>
    <mergeCell ref="AJ43:AM46"/>
    <mergeCell ref="AN43:AQ46"/>
    <mergeCell ref="AR43:AU46"/>
    <mergeCell ref="D50:O51"/>
    <mergeCell ref="P50:S51"/>
    <mergeCell ref="T50:W51"/>
    <mergeCell ref="X50:AA51"/>
    <mergeCell ref="AB50:AE51"/>
    <mergeCell ref="AF50:AI51"/>
    <mergeCell ref="AJ50:AM51"/>
    <mergeCell ref="AN50:AQ51"/>
    <mergeCell ref="AR50:AU51"/>
    <mergeCell ref="D55:O56"/>
    <mergeCell ref="P55:S56"/>
    <mergeCell ref="T55:W56"/>
    <mergeCell ref="X55:AA56"/>
    <mergeCell ref="AB55:AE56"/>
    <mergeCell ref="AF55:AI56"/>
    <mergeCell ref="AJ55:AM56"/>
    <mergeCell ref="AN55:AQ56"/>
    <mergeCell ref="AR55:AU56"/>
    <mergeCell ref="D57:O60"/>
    <mergeCell ref="P57:S60"/>
    <mergeCell ref="T57:W60"/>
    <mergeCell ref="X57:AA60"/>
    <mergeCell ref="AB57:AE60"/>
    <mergeCell ref="AF57:AI60"/>
    <mergeCell ref="AJ57:AM60"/>
    <mergeCell ref="AN57:AQ60"/>
    <mergeCell ref="AR57:AU60"/>
  </mergeCells>
  <dataValidations count="1">
    <dataValidation type="whole" operator="between" allowBlank="1" showInputMessage="1" showErrorMessage="1" errorTitle="GSP SY 2025-2026" error="Please enter a valid number from 0 to 20,000." sqref="P21:AQ32 P35:AQ46 P49:AQ60">
      <formula1>0</formula1>
      <formula2>20000</formula2>
    </dataValidation>
  </dataValidations>
  <printOptions horizontalCentered="1"/>
  <pageMargins left="0.15748031496063" right="0.15748031496063" top="0.15748031496063" bottom="0.31496062992126" header="0.31496062992126" footer="0.15748031496063"/>
  <pageSetup paperSize="9" scale="98" orientation="portrait"/>
  <headerFooter>
    <oddFooter>&amp;LGSP, SY 2025-2026&amp;RPage 47 of 85</oddFooter>
  </headerFooter>
  <rowBreaks count="1" manualBreakCount="1">
    <brk id="74" max="47" man="1"/>
  </rowBreaks>
  <colBreaks count="2" manualBreakCount="2">
    <brk id="50" max="73" man="1"/>
    <brk id="54" max="73" man="1"/>
  </colBreak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Check Box 1" r:id="rId3">
              <controlPr defaultSize="0">
                <anchor moveWithCells="1">
                  <from>
                    <xdr:col>19</xdr:col>
                    <xdr:colOff>127000</xdr:colOff>
                    <xdr:row>6</xdr:row>
                    <xdr:rowOff>19050</xdr:rowOff>
                  </from>
                  <to>
                    <xdr:col>21</xdr:col>
                    <xdr:colOff>50800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name="Check Box 2" r:id="rId4">
              <controlPr defaultSize="0">
                <anchor moveWithCells="1">
                  <from>
                    <xdr:col>19</xdr:col>
                    <xdr:colOff>127000</xdr:colOff>
                    <xdr:row>7</xdr:row>
                    <xdr:rowOff>127000</xdr:rowOff>
                  </from>
                  <to>
                    <xdr:col>21</xdr:col>
                    <xdr:colOff>50800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name="Check Box 3" r:id="rId5">
              <controlPr defaultSize="0">
                <anchor moveWithCells="1">
                  <from>
                    <xdr:col>19</xdr:col>
                    <xdr:colOff>127000</xdr:colOff>
                    <xdr:row>8</xdr:row>
                    <xdr:rowOff>127000</xdr:rowOff>
                  </from>
                  <to>
                    <xdr:col>21</xdr:col>
                    <xdr:colOff>50800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name="Check Box 4" r:id="rId6">
              <controlPr defaultSize="0">
                <anchor moveWithCells="1">
                  <from>
                    <xdr:col>19</xdr:col>
                    <xdr:colOff>127000</xdr:colOff>
                    <xdr:row>9</xdr:row>
                    <xdr:rowOff>127000</xdr:rowOff>
                  </from>
                  <to>
                    <xdr:col>21</xdr:col>
                    <xdr:colOff>50800</xdr:colOff>
                    <xdr:row>11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F09A"/>
  </sheetPr>
  <dimension ref="A1:AN73"/>
  <sheetViews>
    <sheetView showGridLines="0" view="pageBreakPreview" zoomScaleNormal="100" topLeftCell="A10" workbookViewId="0">
      <selection activeCell="N12" sqref="N12"/>
    </sheetView>
  </sheetViews>
  <sheetFormatPr defaultColWidth="2.18181818181818" defaultRowHeight="12" customHeight="1"/>
  <cols>
    <col min="1" max="1" width="0.272727272727273" style="4" customWidth="1"/>
    <col min="2" max="40" width="2.18181818181818" style="4"/>
    <col min="41" max="41" width="1.27272727272727" style="4" customWidth="1"/>
    <col min="42" max="42" width="0.272727272727273" style="4" customWidth="1"/>
    <col min="43" max="16384" width="2.18181818181818" style="4"/>
  </cols>
  <sheetData>
    <row r="1" customHeight="1" spans="1:40">
      <c r="A1" s="3" t="s">
        <v>27</v>
      </c>
      <c r="B1" s="181"/>
    </row>
    <row r="2" customHeight="1" spans="1:40">
      <c r="A2" s="3" t="s">
        <v>28</v>
      </c>
      <c r="B2" s="181"/>
    </row>
    <row r="3" customHeight="1" spans="1:40">
      <c r="A3" s="6"/>
    </row>
    <row r="4" customHeight="1" spans="1:40">
      <c r="A4" s="85" t="s">
        <v>66</v>
      </c>
    </row>
    <row r="6" customHeight="1" spans="1:40">
      <c r="A6" s="4" t="s">
        <v>67</v>
      </c>
    </row>
    <row r="7" customHeight="1" spans="1:40">
      <c r="C7" s="4" t="s">
        <v>68</v>
      </c>
    </row>
    <row r="9" customHeight="1" spans="1:40">
      <c r="A9" s="4" t="s">
        <v>69</v>
      </c>
    </row>
    <row r="10" customHeight="1" spans="1:40">
      <c r="C10" s="4" t="s">
        <v>70</v>
      </c>
    </row>
    <row r="12" customHeight="1" spans="1:40">
      <c r="A12" s="4" t="s">
        <v>71</v>
      </c>
    </row>
    <row r="13" customHeight="1" spans="1:40">
      <c r="C13" s="4" t="s">
        <v>72</v>
      </c>
    </row>
    <row r="15" customHeight="1" spans="1:40">
      <c r="A15" s="4" t="s">
        <v>73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customHeight="1" spans="1:40">
      <c r="C16" s="4" t="s">
        <v>74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12"/>
      <c r="O16" s="12"/>
      <c r="P16" s="12"/>
      <c r="Q16" s="12"/>
      <c r="R16" s="12"/>
      <c r="S16" s="12"/>
      <c r="T16" s="12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customHeight="1" spans="1:40">
      <c r="C17" s="4" t="s">
        <v>75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customHeight="1" spans="1:40">
      <c r="D18" s="7"/>
      <c r="E18" s="7"/>
      <c r="F18" s="7"/>
      <c r="G18" s="7"/>
      <c r="H18" s="7"/>
      <c r="I18" s="7"/>
      <c r="J18" s="7"/>
      <c r="K18" s="7"/>
      <c r="L18" s="7"/>
      <c r="M18" s="7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customHeight="1" spans="1:40">
      <c r="A19" s="4" t="s">
        <v>76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customHeight="1" spans="1:40">
      <c r="C20" s="4" t="s">
        <v>77</v>
      </c>
    </row>
    <row r="21" customHeight="1" spans="1:40">
      <c r="C21" s="4" t="s">
        <v>78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4"/>
    </row>
    <row r="22" customHeight="1" spans="1:40">
      <c r="C22" s="4" t="s">
        <v>79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4"/>
    </row>
    <row r="23" customHeight="1" spans="1:40">
      <c r="C23" s="4" t="s">
        <v>80</v>
      </c>
    </row>
    <row r="25" customHeight="1" spans="1:40">
      <c r="A25" s="4" t="s">
        <v>81</v>
      </c>
    </row>
    <row r="26" customHeight="1" spans="1:40">
      <c r="C26" s="4" t="s">
        <v>82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customHeight="1" spans="1:40">
      <c r="C27" s="4" t="s">
        <v>83</v>
      </c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customHeight="1" spans="1:40"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customHeight="1" spans="1:40">
      <c r="A29" s="4" t="s">
        <v>84</v>
      </c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customHeight="1" spans="1:40">
      <c r="C30" s="4" t="s">
        <v>85</v>
      </c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customHeight="1" spans="1:40"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customHeight="1" spans="1:40">
      <c r="A32" s="4" t="s">
        <v>86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customHeight="1" spans="1:40">
      <c r="C33" s="4" t="s">
        <v>87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5" customHeight="1" spans="1:40">
      <c r="A35" s="4" t="s">
        <v>88</v>
      </c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customHeight="1" spans="1:40">
      <c r="C36" s="4" t="s">
        <v>89</v>
      </c>
      <c r="D36" s="154"/>
      <c r="E36" s="154"/>
      <c r="F36" s="154"/>
      <c r="G36" s="154"/>
      <c r="H36" s="154"/>
      <c r="I36" s="154"/>
      <c r="J36" s="154"/>
      <c r="K36" s="154"/>
      <c r="L36" s="154"/>
      <c r="M36" s="154"/>
    </row>
    <row r="38" customHeight="1" spans="1:40">
      <c r="A38" s="85" t="s">
        <v>90</v>
      </c>
    </row>
    <row r="39" customHeight="1" spans="1:40">
      <c r="C39" s="4" t="s">
        <v>91</v>
      </c>
    </row>
    <row r="40" customHeight="1" spans="1:40">
      <c r="C40" s="4" t="s">
        <v>92</v>
      </c>
      <c r="D40" s="154"/>
      <c r="E40" s="154"/>
      <c r="F40" s="154"/>
      <c r="G40" s="154"/>
      <c r="H40" s="154"/>
      <c r="I40" s="154"/>
      <c r="J40" s="154"/>
      <c r="K40" s="154"/>
      <c r="L40" s="154"/>
      <c r="M40" s="154"/>
    </row>
    <row r="41" customHeight="1" spans="1:40"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</row>
    <row r="42" customHeight="1" spans="1:40"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</row>
    <row r="43" customHeight="1" spans="1:40"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</row>
    <row r="44" customHeight="1" spans="1:40"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</row>
    <row r="45" customHeight="1" spans="1:40"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</row>
    <row r="46" customHeight="1" spans="1:40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customHeight="1" spans="1:40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9" customHeight="1" spans="3:13"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</row>
    <row r="50" customHeight="1" spans="3:13"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</row>
    <row r="54" customHeight="1" spans="3:13"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</row>
    <row r="55" customHeight="1" spans="3:13"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</row>
    <row r="56" customHeight="1" spans="3:13"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</row>
    <row r="57" customHeight="1" spans="3:13"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</row>
    <row r="58" customHeight="1" spans="3:13"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</row>
    <row r="59" customHeight="1" spans="3:13"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</row>
    <row r="60" customHeight="1" spans="3:13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6" customHeight="1" spans="1:1">
      <c r="A66" s="85"/>
    </row>
    <row r="73" customHeight="1" spans="1:1">
      <c r="A73" s="85"/>
    </row>
  </sheetData>
  <sheetProtection algorithmName="SHA-512" hashValue="wBupWdqAUxeVfKcd9TQFxM/vOX0CPPO2b8eM01yTZqCmstRTSMt/YYF6BTRit6dsKzz2BybloS9djPaJNo57DA==" saltValue="vq7LOhB6ktt/aYgGzkRSBw==" spinCount="100000" sheet="1" objects="1" scenarios="1"/>
  <pageMargins left="0.15748031496063" right="0.15748031496063" top="0.15748031496063" bottom="0.31496062992126" header="0.31496062992126" footer="0.15748031496063"/>
  <pageSetup paperSize="9" scale="98" orientation="portrait"/>
  <headerFooter>
    <oddFooter>&amp;L&amp;"Times New Roman,Regular"&amp;10GSP, SY 2025-2026&amp;R&amp;"Times New Roman,Regular"&amp;10Page 48 of 85</oddFooter>
  </headerFooter>
  <rowBreaks count="1" manualBreakCount="1">
    <brk id="73" max="4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F09A"/>
  </sheetPr>
  <dimension ref="A1:CD47"/>
  <sheetViews>
    <sheetView view="pageBreakPreview" zoomScaleNormal="100" topLeftCell="A2" workbookViewId="0">
      <selection activeCell="L12" sqref="L12:P12"/>
    </sheetView>
  </sheetViews>
  <sheetFormatPr defaultColWidth="2.18181818181818" defaultRowHeight="12" customHeight="1"/>
  <cols>
    <col min="1" max="1" width="0.272727272727273" style="4" customWidth="1"/>
    <col min="2" max="5" width="2.18181818181818" style="4"/>
    <col min="6" max="7" width="2.18181818181818" style="4" customWidth="1"/>
    <col min="8" max="62" width="2.27272727272727" style="4" customWidth="1"/>
    <col min="63" max="63" width="0.272727272727273" style="4" customWidth="1"/>
    <col min="64" max="64" width="2.27272727272727" style="4" customWidth="1"/>
    <col min="65" max="65" width="0.818181818181818" style="4" customWidth="1"/>
    <col min="66" max="67" width="2.27272727272727" style="4" customWidth="1"/>
    <col min="68" max="68" width="0.818181818181818" style="4" customWidth="1"/>
    <col min="69" max="70" width="2.27272727272727" style="4" customWidth="1"/>
    <col min="71" max="71" width="0.818181818181818" style="4" customWidth="1"/>
    <col min="72" max="73" width="2.27272727272727" style="4" customWidth="1"/>
    <col min="74" max="74" width="0.818181818181818" style="4" customWidth="1"/>
    <col min="75" max="76" width="2.27272727272727" style="4" customWidth="1"/>
    <col min="77" max="77" width="0.818181818181818" style="4" customWidth="1"/>
    <col min="78" max="79" width="2.27272727272727" style="4" customWidth="1"/>
    <col min="80" max="80" width="0.818181818181818" style="4" customWidth="1"/>
    <col min="81" max="82" width="2.18181818181818" style="4" customWidth="1"/>
    <col min="83" max="83" width="0.272727272727273" style="4" customWidth="1"/>
    <col min="84" max="84" width="2.18181818181818" style="4"/>
    <col min="85" max="85" width="2.18181818181818" style="4" customWidth="1"/>
    <col min="86" max="16384" width="2.18181818181818" style="4"/>
  </cols>
  <sheetData>
    <row r="1" customHeight="1" spans="1:76">
      <c r="A1" s="3" t="s">
        <v>93</v>
      </c>
    </row>
    <row r="2" customHeight="1" spans="1:76">
      <c r="A2" s="3" t="s">
        <v>28</v>
      </c>
    </row>
    <row r="3" customHeight="1" spans="1:76">
      <c r="A3" s="182" t="s">
        <v>94</v>
      </c>
    </row>
    <row r="4" ht="4" customHeight="1"/>
    <row r="5" customHeight="1" spans="1:76">
      <c r="A5" s="4" t="s">
        <v>95</v>
      </c>
      <c r="B5" s="7"/>
    </row>
    <row r="6" ht="4" customHeight="1"/>
    <row r="7" spans="1:76">
      <c r="C7" s="87" t="s">
        <v>96</v>
      </c>
      <c r="D7" s="87"/>
      <c r="E7" s="87"/>
      <c r="F7" s="87"/>
      <c r="G7" s="87"/>
      <c r="H7" s="87"/>
      <c r="I7" s="87"/>
      <c r="J7" s="87"/>
      <c r="K7" s="87"/>
      <c r="L7" s="42" t="s">
        <v>97</v>
      </c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 t="s">
        <v>98</v>
      </c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</row>
    <row r="8" spans="1:76">
      <c r="C8" s="87"/>
      <c r="D8" s="87"/>
      <c r="E8" s="87"/>
      <c r="F8" s="87"/>
      <c r="G8" s="87"/>
      <c r="H8" s="87"/>
      <c r="I8" s="87"/>
      <c r="J8" s="87"/>
      <c r="K8" s="87"/>
      <c r="L8" s="42" t="s">
        <v>99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 t="s">
        <v>100</v>
      </c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 t="s">
        <v>101</v>
      </c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</row>
    <row r="9" ht="23.15" customHeight="1" spans="1:76">
      <c r="C9" s="87"/>
      <c r="D9" s="87"/>
      <c r="E9" s="87"/>
      <c r="F9" s="87"/>
      <c r="G9" s="87"/>
      <c r="H9" s="87"/>
      <c r="I9" s="87"/>
      <c r="J9" s="87"/>
      <c r="K9" s="87"/>
      <c r="L9" s="137" t="s">
        <v>102</v>
      </c>
      <c r="M9" s="104"/>
      <c r="N9" s="104"/>
      <c r="O9" s="104"/>
      <c r="P9" s="104"/>
      <c r="Q9" s="104"/>
      <c r="R9" s="104"/>
      <c r="S9" s="104"/>
      <c r="T9" s="104"/>
      <c r="U9" s="104"/>
      <c r="V9" s="137" t="s">
        <v>103</v>
      </c>
      <c r="W9" s="104"/>
      <c r="X9" s="104"/>
      <c r="Y9" s="104"/>
      <c r="Z9" s="104"/>
      <c r="AA9" s="104"/>
      <c r="AB9" s="104"/>
      <c r="AC9" s="104"/>
      <c r="AD9" s="137" t="s">
        <v>104</v>
      </c>
      <c r="AE9" s="104"/>
      <c r="AF9" s="104"/>
      <c r="AG9" s="104"/>
      <c r="AH9" s="104"/>
      <c r="AI9" s="104"/>
      <c r="AJ9" s="104"/>
      <c r="AK9" s="137" t="s">
        <v>105</v>
      </c>
      <c r="AL9" s="104"/>
      <c r="AM9" s="104"/>
      <c r="AN9" s="104"/>
      <c r="AO9" s="104"/>
      <c r="AP9" s="104"/>
      <c r="AQ9" s="137" t="s">
        <v>102</v>
      </c>
      <c r="AR9" s="137"/>
      <c r="AS9" s="137"/>
      <c r="AT9" s="104"/>
      <c r="AU9" s="104"/>
      <c r="AV9" s="104"/>
      <c r="AW9" s="104"/>
      <c r="AX9" s="104"/>
      <c r="AY9" s="104"/>
      <c r="AZ9" s="104"/>
      <c r="BA9" s="137" t="s">
        <v>105</v>
      </c>
      <c r="BB9" s="104"/>
      <c r="BC9" s="104"/>
      <c r="BD9" s="104"/>
      <c r="BE9" s="104"/>
      <c r="BF9" s="104"/>
      <c r="BG9" s="104"/>
      <c r="BH9" s="104"/>
      <c r="BI9" s="104"/>
    </row>
    <row r="10" spans="1:76">
      <c r="C10" s="87"/>
      <c r="D10" s="87"/>
      <c r="E10" s="87"/>
      <c r="F10" s="87"/>
      <c r="G10" s="87"/>
      <c r="H10" s="87"/>
      <c r="I10" s="87"/>
      <c r="J10" s="87"/>
      <c r="K10" s="87"/>
      <c r="L10" s="42" t="s">
        <v>106</v>
      </c>
      <c r="M10" s="42"/>
      <c r="N10" s="42"/>
      <c r="O10" s="42"/>
      <c r="P10" s="42"/>
      <c r="Q10" s="42" t="s">
        <v>107</v>
      </c>
      <c r="R10" s="42"/>
      <c r="S10" s="42"/>
      <c r="T10" s="42"/>
      <c r="U10" s="42"/>
      <c r="V10" s="42" t="s">
        <v>106</v>
      </c>
      <c r="W10" s="42"/>
      <c r="X10" s="42"/>
      <c r="Y10" s="42"/>
      <c r="Z10" s="42" t="s">
        <v>107</v>
      </c>
      <c r="AA10" s="42"/>
      <c r="AB10" s="42"/>
      <c r="AC10" s="42"/>
      <c r="AD10" s="42" t="s">
        <v>107</v>
      </c>
      <c r="AE10" s="42"/>
      <c r="AF10" s="42"/>
      <c r="AG10" s="42"/>
      <c r="AH10" s="42"/>
      <c r="AI10" s="42"/>
      <c r="AJ10" s="42"/>
      <c r="AK10" s="42" t="s">
        <v>107</v>
      </c>
      <c r="AL10" s="42"/>
      <c r="AM10" s="42"/>
      <c r="AN10" s="42"/>
      <c r="AO10" s="42"/>
      <c r="AP10" s="42"/>
      <c r="AQ10" s="42" t="s">
        <v>106</v>
      </c>
      <c r="AR10" s="42"/>
      <c r="AS10" s="42"/>
      <c r="AT10" s="42"/>
      <c r="AU10" s="42"/>
      <c r="AV10" s="42" t="s">
        <v>107</v>
      </c>
      <c r="AW10" s="42"/>
      <c r="AX10" s="42"/>
      <c r="AY10" s="42"/>
      <c r="AZ10" s="42"/>
      <c r="BA10" s="42" t="s">
        <v>106</v>
      </c>
      <c r="BB10" s="42"/>
      <c r="BC10" s="42"/>
      <c r="BD10" s="42"/>
      <c r="BE10" s="42" t="s">
        <v>107</v>
      </c>
      <c r="BF10" s="42"/>
      <c r="BG10" s="42"/>
      <c r="BH10" s="42"/>
      <c r="BI10" s="42"/>
    </row>
    <row r="11" spans="1:76">
      <c r="C11" s="238" t="s">
        <v>108</v>
      </c>
      <c r="D11" s="238"/>
      <c r="E11" s="238"/>
      <c r="F11" s="238"/>
      <c r="G11" s="238"/>
      <c r="H11" s="238"/>
      <c r="I11" s="238"/>
      <c r="J11" s="238"/>
      <c r="K11" s="238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239"/>
      <c r="AE11" s="239"/>
      <c r="AF11" s="239"/>
      <c r="AG11" s="239"/>
      <c r="AH11" s="239"/>
      <c r="AI11" s="239"/>
      <c r="AJ11" s="239"/>
      <c r="AK11" s="239"/>
      <c r="AL11" s="239"/>
      <c r="AM11" s="239"/>
      <c r="AN11" s="239"/>
      <c r="AO11" s="239"/>
      <c r="AP11" s="239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115" t="str">
        <f>IF(N(sch_health_vacc_ip_mcv_g1_m)&gt;N(sch_health_vacc_ip_and_nonip_mcv_g1_m),"Error: Grade 1 Male IP Learners shall not exceed Grade 1 Male Total Learners.",IF(N(sch_health_vacc_ip_mcv_g1_f)&gt;N(sch_health_vacc_ip_and_nonip_mcv_g1_f),"Error: Grade 1 Female IP Learners shall not exceed Grade 1 Female Total Learners.",IF(N(sch_health_vacc_ip_mcv_g7_m)&gt;N(sch_health_vacc_ip_and_nonip_mcv_g7_m),"Error: Grade 7 Male IP Learners shall not exceed Grade 7 Male Total Learners.",IF(N(sch_health_vacc_ip_mcv_g7_f)&gt;N(sch_health_vacc_ip_and_nonip_mcv_g7_f),"Error: Grade 7 Female IP Learners shall not exceed Grade 7 Female Total Learners.",""))))</f>
        <v/>
      </c>
    </row>
    <row r="12" spans="1:76">
      <c r="C12" s="238" t="s">
        <v>109</v>
      </c>
      <c r="D12" s="238"/>
      <c r="E12" s="238"/>
      <c r="F12" s="238"/>
      <c r="G12" s="238"/>
      <c r="H12" s="238"/>
      <c r="I12" s="238"/>
      <c r="J12" s="238"/>
      <c r="K12" s="238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115" t="str">
        <f>IF(N(sch_health_vacc_ip_td_g1_m)&gt;N(sch_health_vacc_ip_and_nonip_td_g1_m),"Error: Grade 1 Male IP Learners shall not exceed Grade 1 Male Total Learners.",IF(N(sch_health_vacc_ip_td_g1_f)&gt;N(sch_health_vacc_ip_and_nonip_td_g1_f),"Error: Grade 1 Female IP Learners shall not exceed Grade 1 Female Total Learners.",IF(N(sch_health_vacc_ip_td_g7_m)&gt;N(sch_health_vacc_ip_and_nonip_td_g7_m),"Error: Grade 7 Male IP Learners shall not exceed Grade 7 Male Total Learners.",IF(N(sch_health_vacc_ip_td_g7_f)&gt;N(sch_health_vacc_ip_and_nonip_td_g7_f),"Error: Grade 7 Female IP Learners shall not exceed Grade 7 Female Total Learners.",""))))</f>
        <v/>
      </c>
    </row>
    <row r="13" spans="1:76">
      <c r="C13" s="238" t="s">
        <v>110</v>
      </c>
      <c r="D13" s="238"/>
      <c r="E13" s="238"/>
      <c r="F13" s="238"/>
      <c r="G13" s="238"/>
      <c r="H13" s="238"/>
      <c r="I13" s="238"/>
      <c r="J13" s="238"/>
      <c r="K13" s="238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239"/>
      <c r="AR13" s="239"/>
      <c r="AS13" s="239"/>
      <c r="AT13" s="239"/>
      <c r="AU13" s="239"/>
      <c r="AV13" s="239"/>
      <c r="AW13" s="239"/>
      <c r="AX13" s="239"/>
      <c r="AY13" s="239"/>
      <c r="AZ13" s="239"/>
      <c r="BA13" s="239"/>
      <c r="BB13" s="239"/>
      <c r="BC13" s="239"/>
      <c r="BD13" s="239"/>
      <c r="BE13" s="239"/>
      <c r="BF13" s="239"/>
      <c r="BG13" s="239"/>
      <c r="BH13" s="239"/>
      <c r="BI13" s="239"/>
      <c r="BJ13" s="115" t="str">
        <f>IF(N(sch_health_vacc_ip_hpv_g4_f)&gt;N(sch_health_vacc_ip_and_nonip_hpv_g4_f),"Error: Grade 4 Female IP Learners shall not exceed Grade 4 Female Total Learners.","")</f>
        <v/>
      </c>
    </row>
    <row r="15" customHeight="1" spans="1:76">
      <c r="A15" s="4" t="s">
        <v>111</v>
      </c>
    </row>
    <row r="16" ht="4" customHeight="1"/>
    <row r="17" customHeight="1" spans="3:82">
      <c r="C17" s="87" t="s">
        <v>112</v>
      </c>
      <c r="D17" s="87"/>
      <c r="E17" s="87"/>
      <c r="F17" s="87"/>
      <c r="G17" s="87"/>
      <c r="H17" s="87"/>
      <c r="I17" s="42" t="s">
        <v>97</v>
      </c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</row>
    <row r="18" spans="3:82">
      <c r="C18" s="87"/>
      <c r="D18" s="87"/>
      <c r="E18" s="87"/>
      <c r="F18" s="87"/>
      <c r="G18" s="87"/>
      <c r="H18" s="87"/>
      <c r="I18" s="62" t="s">
        <v>113</v>
      </c>
      <c r="J18" s="63"/>
      <c r="K18" s="63"/>
      <c r="L18" s="63"/>
      <c r="M18" s="63"/>
      <c r="N18" s="64"/>
      <c r="O18" s="42" t="s">
        <v>99</v>
      </c>
      <c r="P18" s="42"/>
      <c r="Q18" s="42"/>
      <c r="R18" s="42"/>
      <c r="S18" s="42"/>
      <c r="T18" s="42"/>
      <c r="U18" s="62" t="s">
        <v>114</v>
      </c>
      <c r="V18" s="63"/>
      <c r="W18" s="63"/>
      <c r="X18" s="63"/>
      <c r="Y18" s="63"/>
      <c r="Z18" s="64"/>
      <c r="AA18" s="62" t="s">
        <v>115</v>
      </c>
      <c r="AB18" s="63"/>
      <c r="AC18" s="63"/>
      <c r="AD18" s="63"/>
      <c r="AE18" s="63"/>
      <c r="AF18" s="64"/>
      <c r="AG18" s="62" t="s">
        <v>100</v>
      </c>
      <c r="AH18" s="63"/>
      <c r="AI18" s="63"/>
      <c r="AJ18" s="63"/>
      <c r="AK18" s="63"/>
      <c r="AL18" s="64"/>
      <c r="AM18" s="62" t="s">
        <v>116</v>
      </c>
      <c r="AN18" s="63"/>
      <c r="AO18" s="63"/>
      <c r="AP18" s="63"/>
      <c r="AQ18" s="63"/>
      <c r="AR18" s="64"/>
      <c r="AS18" s="62" t="s">
        <v>117</v>
      </c>
      <c r="AT18" s="63"/>
      <c r="AU18" s="63"/>
      <c r="AV18" s="63"/>
      <c r="AW18" s="63"/>
      <c r="AX18" s="64"/>
      <c r="AY18" s="240" t="s">
        <v>118</v>
      </c>
      <c r="AZ18" s="241"/>
      <c r="BA18" s="241"/>
      <c r="BB18" s="241"/>
      <c r="BC18" s="241"/>
      <c r="BD18" s="241"/>
      <c r="BE18" s="242" t="s">
        <v>54</v>
      </c>
      <c r="BF18" s="63"/>
      <c r="BG18" s="63"/>
      <c r="BH18" s="63"/>
      <c r="BI18" s="63"/>
      <c r="BJ18" s="64"/>
    </row>
    <row r="19" spans="3:82">
      <c r="C19" s="87"/>
      <c r="D19" s="87"/>
      <c r="E19" s="87"/>
      <c r="F19" s="87"/>
      <c r="G19" s="87"/>
      <c r="H19" s="87"/>
      <c r="I19" s="68"/>
      <c r="J19" s="69"/>
      <c r="K19" s="69"/>
      <c r="L19" s="69"/>
      <c r="M19" s="69"/>
      <c r="N19" s="70"/>
      <c r="O19" s="42"/>
      <c r="P19" s="42"/>
      <c r="Q19" s="42"/>
      <c r="R19" s="42"/>
      <c r="S19" s="42"/>
      <c r="T19" s="42"/>
      <c r="U19" s="68"/>
      <c r="V19" s="69"/>
      <c r="W19" s="69"/>
      <c r="X19" s="69"/>
      <c r="Y19" s="69"/>
      <c r="Z19" s="70"/>
      <c r="AA19" s="68"/>
      <c r="AB19" s="69"/>
      <c r="AC19" s="69"/>
      <c r="AD19" s="69"/>
      <c r="AE19" s="69"/>
      <c r="AF19" s="70"/>
      <c r="AG19" s="68"/>
      <c r="AH19" s="69"/>
      <c r="AI19" s="69"/>
      <c r="AJ19" s="69"/>
      <c r="AK19" s="69"/>
      <c r="AL19" s="70"/>
      <c r="AM19" s="68"/>
      <c r="AN19" s="69"/>
      <c r="AO19" s="69"/>
      <c r="AP19" s="69"/>
      <c r="AQ19" s="69"/>
      <c r="AR19" s="70"/>
      <c r="AS19" s="68"/>
      <c r="AT19" s="69"/>
      <c r="AU19" s="69"/>
      <c r="AV19" s="69"/>
      <c r="AW19" s="69"/>
      <c r="AX19" s="70"/>
      <c r="AY19" s="243"/>
      <c r="AZ19" s="244"/>
      <c r="BA19" s="244"/>
      <c r="BB19" s="244"/>
      <c r="BC19" s="244"/>
      <c r="BD19" s="244"/>
      <c r="BE19" s="245"/>
      <c r="BF19" s="69"/>
      <c r="BG19" s="69"/>
      <c r="BH19" s="69"/>
      <c r="BI19" s="69"/>
      <c r="BJ19" s="70"/>
    </row>
    <row r="20" spans="3:82">
      <c r="C20" s="87"/>
      <c r="D20" s="87"/>
      <c r="E20" s="87"/>
      <c r="F20" s="87"/>
      <c r="G20" s="87"/>
      <c r="H20" s="87"/>
      <c r="I20" s="39" t="s">
        <v>106</v>
      </c>
      <c r="J20" s="40"/>
      <c r="K20" s="41"/>
      <c r="L20" s="39" t="s">
        <v>107</v>
      </c>
      <c r="M20" s="40"/>
      <c r="N20" s="41"/>
      <c r="O20" s="42" t="s">
        <v>106</v>
      </c>
      <c r="P20" s="42"/>
      <c r="Q20" s="42"/>
      <c r="R20" s="42" t="s">
        <v>107</v>
      </c>
      <c r="S20" s="42"/>
      <c r="T20" s="42"/>
      <c r="U20" s="39" t="s">
        <v>106</v>
      </c>
      <c r="V20" s="40"/>
      <c r="W20" s="41"/>
      <c r="X20" s="39" t="s">
        <v>107</v>
      </c>
      <c r="Y20" s="40"/>
      <c r="Z20" s="41"/>
      <c r="AA20" s="39" t="s">
        <v>106</v>
      </c>
      <c r="AB20" s="40"/>
      <c r="AC20" s="41"/>
      <c r="AD20" s="39" t="s">
        <v>107</v>
      </c>
      <c r="AE20" s="40"/>
      <c r="AF20" s="41"/>
      <c r="AG20" s="39" t="s">
        <v>106</v>
      </c>
      <c r="AH20" s="40"/>
      <c r="AI20" s="41"/>
      <c r="AJ20" s="39" t="s">
        <v>107</v>
      </c>
      <c r="AK20" s="40"/>
      <c r="AL20" s="41"/>
      <c r="AM20" s="39" t="s">
        <v>106</v>
      </c>
      <c r="AN20" s="40"/>
      <c r="AO20" s="41"/>
      <c r="AP20" s="39" t="s">
        <v>107</v>
      </c>
      <c r="AQ20" s="40"/>
      <c r="AR20" s="41"/>
      <c r="AS20" s="39" t="s">
        <v>106</v>
      </c>
      <c r="AT20" s="40"/>
      <c r="AU20" s="41"/>
      <c r="AV20" s="39" t="s">
        <v>107</v>
      </c>
      <c r="AW20" s="40"/>
      <c r="AX20" s="41"/>
      <c r="AY20" s="39" t="s">
        <v>106</v>
      </c>
      <c r="AZ20" s="40"/>
      <c r="BA20" s="41"/>
      <c r="BB20" s="39" t="s">
        <v>107</v>
      </c>
      <c r="BC20" s="40"/>
      <c r="BD20" s="246"/>
      <c r="BE20" s="43" t="s">
        <v>106</v>
      </c>
      <c r="BF20" s="40"/>
      <c r="BG20" s="41"/>
      <c r="BH20" s="39" t="s">
        <v>107</v>
      </c>
      <c r="BI20" s="40"/>
      <c r="BJ20" s="41"/>
    </row>
    <row r="21" spans="3:82">
      <c r="C21" s="247" t="s">
        <v>119</v>
      </c>
      <c r="D21" s="247"/>
      <c r="E21" s="247"/>
      <c r="F21" s="247"/>
      <c r="G21" s="247"/>
      <c r="H21" s="247"/>
      <c r="I21" s="248"/>
      <c r="J21" s="249"/>
      <c r="K21" s="250"/>
      <c r="L21" s="248"/>
      <c r="M21" s="249"/>
      <c r="N21" s="250"/>
      <c r="O21" s="251"/>
      <c r="P21" s="251"/>
      <c r="Q21" s="251"/>
      <c r="R21" s="251"/>
      <c r="S21" s="251"/>
      <c r="T21" s="251"/>
      <c r="U21" s="248"/>
      <c r="V21" s="249"/>
      <c r="W21" s="250"/>
      <c r="X21" s="248"/>
      <c r="Y21" s="249"/>
      <c r="Z21" s="250"/>
      <c r="AA21" s="248"/>
      <c r="AB21" s="249"/>
      <c r="AC21" s="250"/>
      <c r="AD21" s="248"/>
      <c r="AE21" s="249"/>
      <c r="AF21" s="250"/>
      <c r="AG21" s="248"/>
      <c r="AH21" s="249"/>
      <c r="AI21" s="250"/>
      <c r="AJ21" s="248"/>
      <c r="AK21" s="249"/>
      <c r="AL21" s="250"/>
      <c r="AM21" s="248"/>
      <c r="AN21" s="249"/>
      <c r="AO21" s="250"/>
      <c r="AP21" s="248"/>
      <c r="AQ21" s="249"/>
      <c r="AR21" s="250"/>
      <c r="AS21" s="248"/>
      <c r="AT21" s="249"/>
      <c r="AU21" s="250"/>
      <c r="AV21" s="248"/>
      <c r="AW21" s="249"/>
      <c r="AX21" s="250"/>
      <c r="AY21" s="248"/>
      <c r="AZ21" s="249"/>
      <c r="BA21" s="250"/>
      <c r="BB21" s="248"/>
      <c r="BC21" s="249"/>
      <c r="BD21" s="252"/>
      <c r="BE21" s="43"/>
      <c r="BF21" s="40"/>
      <c r="BG21" s="41"/>
      <c r="BH21" s="39"/>
      <c r="BI21" s="40"/>
      <c r="BJ21" s="41"/>
    </row>
    <row r="22" spans="3:82">
      <c r="C22" s="238" t="s">
        <v>120</v>
      </c>
      <c r="D22" s="238"/>
      <c r="E22" s="238"/>
      <c r="F22" s="238"/>
      <c r="G22" s="238"/>
      <c r="H22" s="238"/>
      <c r="I22" s="46"/>
      <c r="J22" s="253"/>
      <c r="K22" s="191"/>
      <c r="L22" s="46"/>
      <c r="M22" s="253"/>
      <c r="N22" s="191"/>
      <c r="O22" s="45"/>
      <c r="P22" s="45"/>
      <c r="Q22" s="45"/>
      <c r="R22" s="45"/>
      <c r="S22" s="45"/>
      <c r="T22" s="45"/>
      <c r="U22" s="46"/>
      <c r="V22" s="253"/>
      <c r="W22" s="191"/>
      <c r="X22" s="46"/>
      <c r="Y22" s="253"/>
      <c r="Z22" s="191"/>
      <c r="AA22" s="46"/>
      <c r="AB22" s="253"/>
      <c r="AC22" s="191"/>
      <c r="AD22" s="46"/>
      <c r="AE22" s="253"/>
      <c r="AF22" s="191"/>
      <c r="AG22" s="46"/>
      <c r="AH22" s="253"/>
      <c r="AI22" s="191"/>
      <c r="AJ22" s="46"/>
      <c r="AK22" s="253"/>
      <c r="AL22" s="191"/>
      <c r="AM22" s="46"/>
      <c r="AN22" s="253"/>
      <c r="AO22" s="191"/>
      <c r="AP22" s="46"/>
      <c r="AQ22" s="253"/>
      <c r="AR22" s="191"/>
      <c r="AS22" s="46"/>
      <c r="AT22" s="253"/>
      <c r="AU22" s="191"/>
      <c r="AV22" s="46"/>
      <c r="AW22" s="253"/>
      <c r="AX22" s="191"/>
      <c r="AY22" s="46"/>
      <c r="AZ22" s="253"/>
      <c r="BA22" s="191"/>
      <c r="BB22" s="46"/>
      <c r="BC22" s="253"/>
      <c r="BD22" s="254"/>
      <c r="BE22" s="47">
        <f>SUM(I22,O22,U22,AA22,AG22,AM22,AS22,AY22)</f>
        <v>0</v>
      </c>
      <c r="BF22" s="48"/>
      <c r="BG22" s="49"/>
      <c r="BH22" s="76">
        <f>SUM(L22,R22,X22,AD22,AJ22,AP22,AV22,BB22)</f>
        <v>0</v>
      </c>
      <c r="BI22" s="48"/>
      <c r="BJ22" s="49"/>
    </row>
    <row r="23" spans="3:82">
      <c r="C23" s="238" t="s">
        <v>121</v>
      </c>
      <c r="D23" s="238"/>
      <c r="E23" s="238"/>
      <c r="F23" s="238"/>
      <c r="G23" s="238"/>
      <c r="H23" s="238"/>
      <c r="I23" s="46"/>
      <c r="J23" s="253"/>
      <c r="K23" s="191"/>
      <c r="L23" s="46"/>
      <c r="M23" s="253"/>
      <c r="N23" s="191"/>
      <c r="O23" s="45"/>
      <c r="P23" s="45"/>
      <c r="Q23" s="45"/>
      <c r="R23" s="45"/>
      <c r="S23" s="45"/>
      <c r="T23" s="45"/>
      <c r="U23" s="46"/>
      <c r="V23" s="253"/>
      <c r="W23" s="191"/>
      <c r="X23" s="46"/>
      <c r="Y23" s="253"/>
      <c r="Z23" s="191"/>
      <c r="AA23" s="46"/>
      <c r="AB23" s="253"/>
      <c r="AC23" s="191"/>
      <c r="AD23" s="46"/>
      <c r="AE23" s="253"/>
      <c r="AF23" s="191"/>
      <c r="AG23" s="46"/>
      <c r="AH23" s="253"/>
      <c r="AI23" s="191"/>
      <c r="AJ23" s="46"/>
      <c r="AK23" s="253"/>
      <c r="AL23" s="191"/>
      <c r="AM23" s="46"/>
      <c r="AN23" s="253"/>
      <c r="AO23" s="191"/>
      <c r="AP23" s="46"/>
      <c r="AQ23" s="253"/>
      <c r="AR23" s="191"/>
      <c r="AS23" s="46"/>
      <c r="AT23" s="253"/>
      <c r="AU23" s="191"/>
      <c r="AV23" s="46"/>
      <c r="AW23" s="253"/>
      <c r="AX23" s="191"/>
      <c r="AY23" s="46"/>
      <c r="AZ23" s="253"/>
      <c r="BA23" s="191"/>
      <c r="BB23" s="46"/>
      <c r="BC23" s="253"/>
      <c r="BD23" s="254"/>
      <c r="BE23" s="47">
        <f>SUM(I23,O23,U23,AA23,AG23,AM23,AS23,AY23)</f>
        <v>0</v>
      </c>
      <c r="BF23" s="48"/>
      <c r="BG23" s="49"/>
      <c r="BH23" s="76">
        <f>SUM(L23,R23,X23,AD23,AJ23,AP23,AV23,BB23)</f>
        <v>0</v>
      </c>
      <c r="BI23" s="48"/>
      <c r="BJ23" s="49"/>
    </row>
    <row r="24" spans="3:82">
      <c r="C24" s="238" t="s">
        <v>122</v>
      </c>
      <c r="D24" s="238"/>
      <c r="E24" s="238"/>
      <c r="F24" s="238"/>
      <c r="G24" s="238"/>
      <c r="H24" s="238"/>
      <c r="I24" s="46"/>
      <c r="J24" s="253"/>
      <c r="K24" s="191"/>
      <c r="L24" s="46"/>
      <c r="M24" s="253"/>
      <c r="N24" s="191"/>
      <c r="O24" s="45"/>
      <c r="P24" s="45"/>
      <c r="Q24" s="45"/>
      <c r="R24" s="45"/>
      <c r="S24" s="45"/>
      <c r="T24" s="45"/>
      <c r="U24" s="46"/>
      <c r="V24" s="253"/>
      <c r="W24" s="191"/>
      <c r="X24" s="46"/>
      <c r="Y24" s="253"/>
      <c r="Z24" s="191"/>
      <c r="AA24" s="46"/>
      <c r="AB24" s="253"/>
      <c r="AC24" s="191"/>
      <c r="AD24" s="46"/>
      <c r="AE24" s="253"/>
      <c r="AF24" s="191"/>
      <c r="AG24" s="46"/>
      <c r="AH24" s="253"/>
      <c r="AI24" s="191"/>
      <c r="AJ24" s="46"/>
      <c r="AK24" s="253"/>
      <c r="AL24" s="191"/>
      <c r="AM24" s="46"/>
      <c r="AN24" s="253"/>
      <c r="AO24" s="191"/>
      <c r="AP24" s="46"/>
      <c r="AQ24" s="253"/>
      <c r="AR24" s="191"/>
      <c r="AS24" s="46"/>
      <c r="AT24" s="253"/>
      <c r="AU24" s="191"/>
      <c r="AV24" s="46"/>
      <c r="AW24" s="253"/>
      <c r="AX24" s="191"/>
      <c r="AY24" s="46"/>
      <c r="AZ24" s="253"/>
      <c r="BA24" s="191"/>
      <c r="BB24" s="46"/>
      <c r="BC24" s="253"/>
      <c r="BD24" s="254"/>
      <c r="BE24" s="47">
        <f>SUM(I24,O24,U24,AA24,AG24,AM24,AS24,AY24)</f>
        <v>0</v>
      </c>
      <c r="BF24" s="48"/>
      <c r="BG24" s="49"/>
      <c r="BH24" s="76">
        <f>SUM(L24,R24,X24,AD24,AJ24,AP24,AV24,BB24)</f>
        <v>0</v>
      </c>
      <c r="BI24" s="48"/>
      <c r="BJ24" s="49"/>
    </row>
    <row r="25" spans="3:82">
      <c r="C25" s="255" t="s">
        <v>123</v>
      </c>
      <c r="D25" s="255"/>
      <c r="E25" s="255"/>
      <c r="F25" s="255"/>
      <c r="G25" s="255"/>
      <c r="H25" s="255"/>
      <c r="I25" s="46"/>
      <c r="J25" s="253"/>
      <c r="K25" s="191"/>
      <c r="L25" s="46"/>
      <c r="M25" s="253"/>
      <c r="N25" s="191"/>
      <c r="O25" s="45"/>
      <c r="P25" s="45"/>
      <c r="Q25" s="45"/>
      <c r="R25" s="45"/>
      <c r="S25" s="45"/>
      <c r="T25" s="45"/>
      <c r="U25" s="46"/>
      <c r="V25" s="253"/>
      <c r="W25" s="191"/>
      <c r="X25" s="46"/>
      <c r="Y25" s="253"/>
      <c r="Z25" s="191"/>
      <c r="AA25" s="46"/>
      <c r="AB25" s="253"/>
      <c r="AC25" s="191"/>
      <c r="AD25" s="46"/>
      <c r="AE25" s="253"/>
      <c r="AF25" s="191"/>
      <c r="AG25" s="46"/>
      <c r="AH25" s="253"/>
      <c r="AI25" s="191"/>
      <c r="AJ25" s="46"/>
      <c r="AK25" s="253"/>
      <c r="AL25" s="191"/>
      <c r="AM25" s="46"/>
      <c r="AN25" s="253"/>
      <c r="AO25" s="191"/>
      <c r="AP25" s="46"/>
      <c r="AQ25" s="253"/>
      <c r="AR25" s="191"/>
      <c r="AS25" s="46"/>
      <c r="AT25" s="253"/>
      <c r="AU25" s="191"/>
      <c r="AV25" s="46"/>
      <c r="AW25" s="253"/>
      <c r="AX25" s="191"/>
      <c r="AY25" s="46"/>
      <c r="AZ25" s="253"/>
      <c r="BA25" s="191"/>
      <c r="BB25" s="46"/>
      <c r="BC25" s="253"/>
      <c r="BD25" s="254"/>
      <c r="BE25" s="47">
        <f>SUM(I25,O25,U25,AA25,AG25,AM25,AS25,AY25)</f>
        <v>0</v>
      </c>
      <c r="BF25" s="48"/>
      <c r="BG25" s="49"/>
      <c r="BH25" s="76">
        <f>SUM(L25,R25,X25,AD25,AJ25,AP25,AV25,BB25)</f>
        <v>0</v>
      </c>
      <c r="BI25" s="48"/>
      <c r="BJ25" s="49"/>
    </row>
    <row r="26" customHeight="1" spans="3:82">
      <c r="C26" s="256" t="s">
        <v>124</v>
      </c>
      <c r="D26" s="256"/>
      <c r="E26" s="256"/>
      <c r="F26" s="256"/>
      <c r="G26" s="256"/>
      <c r="H26" s="256"/>
      <c r="I26" s="46"/>
      <c r="J26" s="253"/>
      <c r="K26" s="191"/>
      <c r="L26" s="257"/>
      <c r="M26" s="258"/>
      <c r="N26" s="259"/>
      <c r="O26" s="260"/>
      <c r="P26" s="260"/>
      <c r="Q26" s="260"/>
      <c r="R26" s="260"/>
      <c r="S26" s="260"/>
      <c r="T26" s="260"/>
      <c r="U26" s="257"/>
      <c r="V26" s="258"/>
      <c r="W26" s="259"/>
      <c r="X26" s="257"/>
      <c r="Y26" s="258"/>
      <c r="Z26" s="259"/>
      <c r="AA26" s="257"/>
      <c r="AB26" s="258"/>
      <c r="AC26" s="259"/>
      <c r="AD26" s="257"/>
      <c r="AE26" s="258"/>
      <c r="AF26" s="259"/>
      <c r="AG26" s="257"/>
      <c r="AH26" s="258"/>
      <c r="AI26" s="259"/>
      <c r="AJ26" s="257"/>
      <c r="AK26" s="258"/>
      <c r="AL26" s="259"/>
      <c r="AM26" s="257"/>
      <c r="AN26" s="258"/>
      <c r="AO26" s="259"/>
      <c r="AP26" s="257"/>
      <c r="AQ26" s="258"/>
      <c r="AR26" s="259"/>
      <c r="AS26" s="46"/>
      <c r="AT26" s="253"/>
      <c r="AU26" s="191"/>
      <c r="AV26" s="46"/>
      <c r="AW26" s="253"/>
      <c r="AX26" s="191"/>
      <c r="AY26" s="46"/>
      <c r="AZ26" s="253"/>
      <c r="BA26" s="191"/>
      <c r="BB26" s="46"/>
      <c r="BC26" s="253"/>
      <c r="BD26" s="254"/>
      <c r="BE26" s="47">
        <f>SUM(I26,O26,U26,AA26,AG26,AM26,AS26,AY26)</f>
        <v>0</v>
      </c>
      <c r="BF26" s="48"/>
      <c r="BG26" s="49"/>
      <c r="BH26" s="76">
        <f>SUM(L26,R26,X26,AD26,AJ26,AP26,AV26,BB26)</f>
        <v>0</v>
      </c>
      <c r="BI26" s="48"/>
      <c r="BJ26" s="49"/>
    </row>
    <row r="27" customHeight="1" spans="3:82">
      <c r="C27" s="261" t="s">
        <v>54</v>
      </c>
      <c r="D27" s="261"/>
      <c r="E27" s="261"/>
      <c r="F27" s="261"/>
      <c r="G27" s="261"/>
      <c r="H27" s="261"/>
      <c r="I27" s="214">
        <f>SUM(I21:K26)</f>
        <v>0</v>
      </c>
      <c r="J27" s="262"/>
      <c r="K27" s="217"/>
      <c r="L27" s="214">
        <f>SUM(L21:N26)</f>
        <v>0</v>
      </c>
      <c r="M27" s="262"/>
      <c r="N27" s="217"/>
      <c r="O27" s="263">
        <f>SUM(O21:Q26)</f>
        <v>0</v>
      </c>
      <c r="P27" s="263"/>
      <c r="Q27" s="263"/>
      <c r="R27" s="263">
        <f>SUM(R21:T26)</f>
        <v>0</v>
      </c>
      <c r="S27" s="263"/>
      <c r="T27" s="263"/>
      <c r="U27" s="214">
        <f>SUM(U21:W26)</f>
        <v>0</v>
      </c>
      <c r="V27" s="262"/>
      <c r="W27" s="217"/>
      <c r="X27" s="214">
        <f>SUM(X21:Z26)</f>
        <v>0</v>
      </c>
      <c r="Y27" s="262"/>
      <c r="Z27" s="217"/>
      <c r="AA27" s="214">
        <f>SUM(AA21:AC26)</f>
        <v>0</v>
      </c>
      <c r="AB27" s="262"/>
      <c r="AC27" s="217"/>
      <c r="AD27" s="214">
        <f>SUM(AD21:AF26)</f>
        <v>0</v>
      </c>
      <c r="AE27" s="262"/>
      <c r="AF27" s="217"/>
      <c r="AG27" s="214">
        <f>SUM(AG21:AI26)</f>
        <v>0</v>
      </c>
      <c r="AH27" s="262"/>
      <c r="AI27" s="217"/>
      <c r="AJ27" s="214">
        <f>SUM(AJ21:AL26)</f>
        <v>0</v>
      </c>
      <c r="AK27" s="262"/>
      <c r="AL27" s="217"/>
      <c r="AM27" s="214">
        <f>SUM(AM21:AO26)</f>
        <v>0</v>
      </c>
      <c r="AN27" s="262"/>
      <c r="AO27" s="217"/>
      <c r="AP27" s="214">
        <f>SUM(AP21:AR26)</f>
        <v>0</v>
      </c>
      <c r="AQ27" s="262"/>
      <c r="AR27" s="217"/>
      <c r="AS27" s="214">
        <f>SUM(AS21:AU26)</f>
        <v>0</v>
      </c>
      <c r="AT27" s="262"/>
      <c r="AU27" s="217"/>
      <c r="AV27" s="214">
        <f>SUM(AV21:AX26)</f>
        <v>0</v>
      </c>
      <c r="AW27" s="262"/>
      <c r="AX27" s="217"/>
      <c r="AY27" s="214">
        <f>SUM(AY21:BA26)</f>
        <v>0</v>
      </c>
      <c r="AZ27" s="262"/>
      <c r="BA27" s="217"/>
      <c r="BB27" s="214">
        <f>SUM(BB21:BD26)</f>
        <v>0</v>
      </c>
      <c r="BC27" s="262"/>
      <c r="BD27" s="262"/>
      <c r="BE27" s="264">
        <f>SUM(BE21:BG26)</f>
        <v>0</v>
      </c>
      <c r="BF27" s="262"/>
      <c r="BG27" s="217"/>
      <c r="BH27" s="214">
        <f>SUM(BH21:BJ26)</f>
        <v>0</v>
      </c>
      <c r="BI27" s="262"/>
      <c r="BJ27" s="217"/>
    </row>
    <row r="28" ht="8.15" customHeight="1"/>
    <row r="29" customHeight="1" spans="3:82">
      <c r="C29" s="87" t="s">
        <v>112</v>
      </c>
      <c r="D29" s="87"/>
      <c r="E29" s="87"/>
      <c r="F29" s="87"/>
      <c r="G29" s="87"/>
      <c r="H29" s="87"/>
      <c r="I29" s="39" t="s">
        <v>98</v>
      </c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265"/>
      <c r="AM29" s="67" t="s">
        <v>125</v>
      </c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1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7"/>
      <c r="BZ29" s="7"/>
      <c r="CA29" s="7"/>
      <c r="CB29" s="7"/>
      <c r="CC29" s="7"/>
      <c r="CD29" s="7"/>
    </row>
    <row r="30" spans="3:82">
      <c r="C30" s="87"/>
      <c r="D30" s="87"/>
      <c r="E30" s="87"/>
      <c r="F30" s="87"/>
      <c r="G30" s="87"/>
      <c r="H30" s="87"/>
      <c r="I30" s="39" t="s">
        <v>101</v>
      </c>
      <c r="J30" s="40"/>
      <c r="K30" s="40"/>
      <c r="L30" s="40"/>
      <c r="M30" s="40"/>
      <c r="N30" s="41"/>
      <c r="O30" s="42" t="s">
        <v>126</v>
      </c>
      <c r="P30" s="42"/>
      <c r="Q30" s="42"/>
      <c r="R30" s="42"/>
      <c r="S30" s="42"/>
      <c r="T30" s="42"/>
      <c r="U30" s="39" t="s">
        <v>127</v>
      </c>
      <c r="V30" s="40"/>
      <c r="W30" s="40"/>
      <c r="X30" s="40"/>
      <c r="Y30" s="40"/>
      <c r="Z30" s="41"/>
      <c r="AA30" s="39" t="s">
        <v>128</v>
      </c>
      <c r="AB30" s="40"/>
      <c r="AC30" s="40"/>
      <c r="AD30" s="40"/>
      <c r="AE30" s="40"/>
      <c r="AF30" s="246"/>
      <c r="AG30" s="43" t="s">
        <v>54</v>
      </c>
      <c r="AH30" s="40"/>
      <c r="AI30" s="40"/>
      <c r="AJ30" s="40"/>
      <c r="AK30" s="40"/>
      <c r="AL30" s="265"/>
      <c r="AM30" s="67" t="s">
        <v>129</v>
      </c>
      <c r="AN30" s="40"/>
      <c r="AO30" s="40"/>
      <c r="AP30" s="40"/>
      <c r="AQ30" s="40"/>
      <c r="AR30" s="41"/>
      <c r="AS30" s="42" t="s">
        <v>130</v>
      </c>
      <c r="AT30" s="42"/>
      <c r="AU30" s="42"/>
      <c r="AV30" s="42"/>
      <c r="AW30" s="42"/>
      <c r="AX30" s="39"/>
      <c r="AY30" s="44" t="s">
        <v>54</v>
      </c>
      <c r="AZ30" s="42"/>
      <c r="BA30" s="42"/>
      <c r="BB30" s="42"/>
      <c r="BC30" s="42"/>
      <c r="BD30" s="42"/>
      <c r="BE30" s="7"/>
      <c r="BF30" s="7"/>
      <c r="BG30" s="7"/>
      <c r="BH30" s="7"/>
      <c r="BI30" s="7"/>
      <c r="BJ30" s="7"/>
    </row>
    <row r="31" spans="3:82">
      <c r="C31" s="87"/>
      <c r="D31" s="87"/>
      <c r="E31" s="87"/>
      <c r="F31" s="87"/>
      <c r="G31" s="87"/>
      <c r="H31" s="87"/>
      <c r="I31" s="42" t="s">
        <v>106</v>
      </c>
      <c r="J31" s="42"/>
      <c r="K31" s="42"/>
      <c r="L31" s="39" t="s">
        <v>107</v>
      </c>
      <c r="M31" s="40"/>
      <c r="N31" s="41"/>
      <c r="O31" s="42" t="s">
        <v>106</v>
      </c>
      <c r="P31" s="42"/>
      <c r="Q31" s="42"/>
      <c r="R31" s="42" t="s">
        <v>107</v>
      </c>
      <c r="S31" s="42"/>
      <c r="T31" s="42"/>
      <c r="U31" s="39" t="s">
        <v>106</v>
      </c>
      <c r="V31" s="40"/>
      <c r="W31" s="41"/>
      <c r="X31" s="39" t="s">
        <v>107</v>
      </c>
      <c r="Y31" s="40"/>
      <c r="Z31" s="41"/>
      <c r="AA31" s="39" t="s">
        <v>106</v>
      </c>
      <c r="AB31" s="40"/>
      <c r="AC31" s="41"/>
      <c r="AD31" s="39" t="s">
        <v>107</v>
      </c>
      <c r="AE31" s="40"/>
      <c r="AF31" s="246"/>
      <c r="AG31" s="43" t="s">
        <v>106</v>
      </c>
      <c r="AH31" s="40"/>
      <c r="AI31" s="41"/>
      <c r="AJ31" s="39" t="s">
        <v>107</v>
      </c>
      <c r="AK31" s="40"/>
      <c r="AL31" s="265"/>
      <c r="AM31" s="67" t="s">
        <v>106</v>
      </c>
      <c r="AN31" s="40"/>
      <c r="AO31" s="41"/>
      <c r="AP31" s="39" t="s">
        <v>107</v>
      </c>
      <c r="AQ31" s="40"/>
      <c r="AR31" s="41"/>
      <c r="AS31" s="42" t="s">
        <v>106</v>
      </c>
      <c r="AT31" s="42"/>
      <c r="AU31" s="42"/>
      <c r="AV31" s="42" t="s">
        <v>107</v>
      </c>
      <c r="AW31" s="42"/>
      <c r="AX31" s="39"/>
      <c r="AY31" s="44" t="s">
        <v>106</v>
      </c>
      <c r="AZ31" s="42"/>
      <c r="BA31" s="42"/>
      <c r="BB31" s="42" t="s">
        <v>107</v>
      </c>
      <c r="BC31" s="42"/>
      <c r="BD31" s="42"/>
      <c r="BE31" s="7"/>
      <c r="BF31" s="7"/>
      <c r="BG31" s="7"/>
      <c r="BH31" s="7"/>
      <c r="BI31" s="7"/>
      <c r="BJ31" s="7"/>
    </row>
    <row r="32" spans="3:82">
      <c r="C32" s="247" t="s">
        <v>119</v>
      </c>
      <c r="D32" s="247"/>
      <c r="E32" s="247"/>
      <c r="F32" s="247"/>
      <c r="G32" s="247"/>
      <c r="H32" s="247"/>
      <c r="I32" s="251"/>
      <c r="J32" s="251"/>
      <c r="K32" s="251"/>
      <c r="L32" s="248"/>
      <c r="M32" s="249"/>
      <c r="N32" s="250"/>
      <c r="O32" s="251"/>
      <c r="P32" s="251"/>
      <c r="Q32" s="251"/>
      <c r="R32" s="251"/>
      <c r="S32" s="251"/>
      <c r="T32" s="251"/>
      <c r="U32" s="248"/>
      <c r="V32" s="249"/>
      <c r="W32" s="250"/>
      <c r="X32" s="248"/>
      <c r="Y32" s="249"/>
      <c r="Z32" s="250"/>
      <c r="AA32" s="248"/>
      <c r="AB32" s="249"/>
      <c r="AC32" s="250"/>
      <c r="AD32" s="248"/>
      <c r="AE32" s="249"/>
      <c r="AF32" s="252"/>
      <c r="AG32" s="43">
        <f>SUM(I32,O32,U32,AA32)</f>
        <v>0</v>
      </c>
      <c r="AH32" s="40"/>
      <c r="AI32" s="41"/>
      <c r="AJ32" s="39">
        <f>SUM(L32,S32,X32,AD32)</f>
        <v>0</v>
      </c>
      <c r="AK32" s="40"/>
      <c r="AL32" s="265"/>
      <c r="AM32" s="266"/>
      <c r="AN32" s="249"/>
      <c r="AO32" s="250"/>
      <c r="AP32" s="248"/>
      <c r="AQ32" s="249"/>
      <c r="AR32" s="250"/>
      <c r="AS32" s="251"/>
      <c r="AT32" s="251"/>
      <c r="AU32" s="251"/>
      <c r="AV32" s="251"/>
      <c r="AW32" s="251"/>
      <c r="AX32" s="248"/>
      <c r="AY32" s="44"/>
      <c r="AZ32" s="42"/>
      <c r="BA32" s="42"/>
      <c r="BB32" s="42"/>
      <c r="BC32" s="42"/>
      <c r="BD32" s="42"/>
      <c r="BE32" s="7"/>
      <c r="BF32" s="7"/>
      <c r="BG32" s="7"/>
      <c r="BH32" s="7"/>
      <c r="BI32" s="7"/>
      <c r="BJ32" s="7"/>
    </row>
    <row r="33" spans="1:62">
      <c r="C33" s="238" t="s">
        <v>120</v>
      </c>
      <c r="D33" s="238"/>
      <c r="E33" s="238"/>
      <c r="F33" s="238"/>
      <c r="G33" s="238"/>
      <c r="H33" s="238"/>
      <c r="I33" s="45"/>
      <c r="J33" s="45"/>
      <c r="K33" s="45"/>
      <c r="L33" s="46"/>
      <c r="M33" s="253"/>
      <c r="N33" s="191"/>
      <c r="O33" s="45"/>
      <c r="P33" s="45"/>
      <c r="Q33" s="45"/>
      <c r="R33" s="45"/>
      <c r="S33" s="45"/>
      <c r="T33" s="45"/>
      <c r="U33" s="46"/>
      <c r="V33" s="253"/>
      <c r="W33" s="191"/>
      <c r="X33" s="46"/>
      <c r="Y33" s="253"/>
      <c r="Z33" s="191"/>
      <c r="AA33" s="46"/>
      <c r="AB33" s="253"/>
      <c r="AC33" s="191"/>
      <c r="AD33" s="46"/>
      <c r="AE33" s="253"/>
      <c r="AF33" s="254"/>
      <c r="AG33" s="47">
        <f>SUM(I33,O33,U33,AA33)</f>
        <v>0</v>
      </c>
      <c r="AH33" s="48"/>
      <c r="AI33" s="49"/>
      <c r="AJ33" s="76">
        <f>SUM(L33,R33,X33,AD33)</f>
        <v>0</v>
      </c>
      <c r="AK33" s="48"/>
      <c r="AL33" s="267"/>
      <c r="AM33" s="268"/>
      <c r="AN33" s="253"/>
      <c r="AO33" s="191"/>
      <c r="AP33" s="46"/>
      <c r="AQ33" s="253"/>
      <c r="AR33" s="191"/>
      <c r="AS33" s="45"/>
      <c r="AT33" s="45"/>
      <c r="AU33" s="45"/>
      <c r="AV33" s="45"/>
      <c r="AW33" s="45"/>
      <c r="AX33" s="46"/>
      <c r="AY33" s="50">
        <f>SUM(AM33,AS33)</f>
        <v>0</v>
      </c>
      <c r="AZ33" s="51"/>
      <c r="BA33" s="51"/>
      <c r="BB33" s="51">
        <f>SUM(AP33,AV33)</f>
        <v>0</v>
      </c>
      <c r="BC33" s="51"/>
      <c r="BD33" s="51"/>
      <c r="BE33" s="7"/>
      <c r="BF33" s="7"/>
      <c r="BG33" s="7"/>
      <c r="BH33" s="7"/>
      <c r="BI33" s="7"/>
      <c r="BJ33" s="7"/>
    </row>
    <row r="34" spans="1:62">
      <c r="C34" s="238" t="s">
        <v>121</v>
      </c>
      <c r="D34" s="238"/>
      <c r="E34" s="238"/>
      <c r="F34" s="238"/>
      <c r="G34" s="238"/>
      <c r="H34" s="238"/>
      <c r="I34" s="45"/>
      <c r="J34" s="45"/>
      <c r="K34" s="45"/>
      <c r="L34" s="46"/>
      <c r="M34" s="253"/>
      <c r="N34" s="191"/>
      <c r="O34" s="45"/>
      <c r="P34" s="45"/>
      <c r="Q34" s="45"/>
      <c r="R34" s="45"/>
      <c r="S34" s="45"/>
      <c r="T34" s="45"/>
      <c r="U34" s="46"/>
      <c r="V34" s="253"/>
      <c r="W34" s="191"/>
      <c r="X34" s="46"/>
      <c r="Y34" s="253"/>
      <c r="Z34" s="191"/>
      <c r="AA34" s="46"/>
      <c r="AB34" s="253"/>
      <c r="AC34" s="191"/>
      <c r="AD34" s="46"/>
      <c r="AE34" s="253"/>
      <c r="AF34" s="254"/>
      <c r="AG34" s="47">
        <f>SUM(I34,O34,U34,AA34)</f>
        <v>0</v>
      </c>
      <c r="AH34" s="48"/>
      <c r="AI34" s="49"/>
      <c r="AJ34" s="76">
        <f>SUM(L34,R34,X34,AD34)</f>
        <v>0</v>
      </c>
      <c r="AK34" s="48"/>
      <c r="AL34" s="267"/>
      <c r="AM34" s="268"/>
      <c r="AN34" s="253"/>
      <c r="AO34" s="191"/>
      <c r="AP34" s="46"/>
      <c r="AQ34" s="253"/>
      <c r="AR34" s="191"/>
      <c r="AS34" s="45"/>
      <c r="AT34" s="45"/>
      <c r="AU34" s="45"/>
      <c r="AV34" s="45"/>
      <c r="AW34" s="45"/>
      <c r="AX34" s="46"/>
      <c r="AY34" s="50">
        <f>SUM(AM34,AS34)</f>
        <v>0</v>
      </c>
      <c r="AZ34" s="51"/>
      <c r="BA34" s="51"/>
      <c r="BB34" s="51">
        <f>SUM(AP34,AV34)</f>
        <v>0</v>
      </c>
      <c r="BC34" s="51"/>
      <c r="BD34" s="51"/>
      <c r="BE34" s="7"/>
      <c r="BF34" s="7"/>
      <c r="BG34" s="7"/>
      <c r="BH34" s="7"/>
      <c r="BI34" s="7"/>
      <c r="BJ34" s="7"/>
    </row>
    <row r="35" spans="1:62">
      <c r="C35" s="238" t="s">
        <v>122</v>
      </c>
      <c r="D35" s="238"/>
      <c r="E35" s="238"/>
      <c r="F35" s="238"/>
      <c r="G35" s="238"/>
      <c r="H35" s="238"/>
      <c r="I35" s="45"/>
      <c r="J35" s="45"/>
      <c r="K35" s="45"/>
      <c r="L35" s="46"/>
      <c r="M35" s="253"/>
      <c r="N35" s="191"/>
      <c r="O35" s="45"/>
      <c r="P35" s="45"/>
      <c r="Q35" s="45"/>
      <c r="R35" s="45"/>
      <c r="S35" s="45"/>
      <c r="T35" s="45"/>
      <c r="U35" s="46"/>
      <c r="V35" s="253"/>
      <c r="W35" s="191"/>
      <c r="X35" s="46"/>
      <c r="Y35" s="253"/>
      <c r="Z35" s="191"/>
      <c r="AA35" s="46"/>
      <c r="AB35" s="253"/>
      <c r="AC35" s="191"/>
      <c r="AD35" s="46"/>
      <c r="AE35" s="253"/>
      <c r="AF35" s="254"/>
      <c r="AG35" s="47">
        <f>SUM(I35,O35,U35,AA35)</f>
        <v>0</v>
      </c>
      <c r="AH35" s="48"/>
      <c r="AI35" s="49"/>
      <c r="AJ35" s="76">
        <f>SUM(L35,R35,X35,AD35)</f>
        <v>0</v>
      </c>
      <c r="AK35" s="48"/>
      <c r="AL35" s="267"/>
      <c r="AM35" s="268"/>
      <c r="AN35" s="253"/>
      <c r="AO35" s="191"/>
      <c r="AP35" s="46"/>
      <c r="AQ35" s="253"/>
      <c r="AR35" s="191"/>
      <c r="AS35" s="45"/>
      <c r="AT35" s="45"/>
      <c r="AU35" s="45"/>
      <c r="AV35" s="45"/>
      <c r="AW35" s="45"/>
      <c r="AX35" s="46"/>
      <c r="AY35" s="50">
        <f>SUM(AM35,AS35)</f>
        <v>0</v>
      </c>
      <c r="AZ35" s="51"/>
      <c r="BA35" s="51"/>
      <c r="BB35" s="51">
        <f>SUM(AP35,AV35)</f>
        <v>0</v>
      </c>
      <c r="BC35" s="51"/>
      <c r="BD35" s="51"/>
      <c r="BE35" s="7"/>
      <c r="BF35" s="7"/>
      <c r="BG35" s="7"/>
      <c r="BH35" s="7"/>
      <c r="BI35" s="7"/>
      <c r="BJ35" s="7"/>
    </row>
    <row r="36" spans="1:62">
      <c r="C36" s="255" t="s">
        <v>123</v>
      </c>
      <c r="D36" s="255"/>
      <c r="E36" s="255"/>
      <c r="F36" s="255"/>
      <c r="G36" s="255"/>
      <c r="H36" s="255"/>
      <c r="I36" s="45"/>
      <c r="J36" s="45"/>
      <c r="K36" s="45"/>
      <c r="L36" s="46"/>
      <c r="M36" s="253"/>
      <c r="N36" s="191"/>
      <c r="O36" s="45"/>
      <c r="P36" s="45"/>
      <c r="Q36" s="45"/>
      <c r="R36" s="45"/>
      <c r="S36" s="45"/>
      <c r="T36" s="45"/>
      <c r="U36" s="46"/>
      <c r="V36" s="253"/>
      <c r="W36" s="191"/>
      <c r="X36" s="46"/>
      <c r="Y36" s="253"/>
      <c r="Z36" s="191"/>
      <c r="AA36" s="46"/>
      <c r="AB36" s="253"/>
      <c r="AC36" s="191"/>
      <c r="AD36" s="46"/>
      <c r="AE36" s="253"/>
      <c r="AF36" s="254"/>
      <c r="AG36" s="47">
        <f>SUM(I36,O36,U36,AA36)</f>
        <v>0</v>
      </c>
      <c r="AH36" s="48"/>
      <c r="AI36" s="49"/>
      <c r="AJ36" s="76">
        <f>SUM(L36,R36,X36,AD36)</f>
        <v>0</v>
      </c>
      <c r="AK36" s="48"/>
      <c r="AL36" s="267"/>
      <c r="AM36" s="268"/>
      <c r="AN36" s="253"/>
      <c r="AO36" s="191"/>
      <c r="AP36" s="46"/>
      <c r="AQ36" s="253"/>
      <c r="AR36" s="191"/>
      <c r="AS36" s="45"/>
      <c r="AT36" s="45"/>
      <c r="AU36" s="45"/>
      <c r="AV36" s="45"/>
      <c r="AW36" s="45"/>
      <c r="AX36" s="46"/>
      <c r="AY36" s="50">
        <f>SUM(AM36,AS36)</f>
        <v>0</v>
      </c>
      <c r="AZ36" s="51"/>
      <c r="BA36" s="51"/>
      <c r="BB36" s="51">
        <f>SUM(AP36,AV36)</f>
        <v>0</v>
      </c>
      <c r="BC36" s="51"/>
      <c r="BD36" s="51"/>
      <c r="BE36" s="7"/>
      <c r="BF36" s="7"/>
      <c r="BG36" s="7"/>
      <c r="BH36" s="7"/>
      <c r="BI36" s="7"/>
      <c r="BJ36" s="7"/>
    </row>
    <row r="37" customHeight="1" spans="1:62">
      <c r="C37" s="256" t="s">
        <v>124</v>
      </c>
      <c r="D37" s="256"/>
      <c r="E37" s="256"/>
      <c r="F37" s="256"/>
      <c r="G37" s="256"/>
      <c r="H37" s="256"/>
      <c r="I37" s="45"/>
      <c r="J37" s="45"/>
      <c r="K37" s="45"/>
      <c r="L37" s="257"/>
      <c r="M37" s="258"/>
      <c r="N37" s="259"/>
      <c r="O37" s="45"/>
      <c r="P37" s="45"/>
      <c r="Q37" s="45"/>
      <c r="R37" s="45"/>
      <c r="S37" s="45"/>
      <c r="T37" s="45"/>
      <c r="U37" s="257"/>
      <c r="V37" s="258"/>
      <c r="W37" s="259"/>
      <c r="X37" s="257"/>
      <c r="Y37" s="258"/>
      <c r="Z37" s="259"/>
      <c r="AA37" s="257"/>
      <c r="AB37" s="258"/>
      <c r="AC37" s="259"/>
      <c r="AD37" s="257"/>
      <c r="AE37" s="258"/>
      <c r="AF37" s="269"/>
      <c r="AG37" s="270">
        <f>SUM(I37,O37,U37,AA37)</f>
        <v>0</v>
      </c>
      <c r="AH37" s="271"/>
      <c r="AI37" s="272"/>
      <c r="AJ37" s="273">
        <f>SUM(L37,R37,X37,AD37)</f>
        <v>0</v>
      </c>
      <c r="AK37" s="271"/>
      <c r="AL37" s="274"/>
      <c r="AM37" s="275"/>
      <c r="AN37" s="258"/>
      <c r="AO37" s="259"/>
      <c r="AP37" s="257"/>
      <c r="AQ37" s="258"/>
      <c r="AR37" s="259"/>
      <c r="AS37" s="45"/>
      <c r="AT37" s="45"/>
      <c r="AU37" s="45"/>
      <c r="AV37" s="45"/>
      <c r="AW37" s="45"/>
      <c r="AX37" s="46"/>
      <c r="AY37" s="50">
        <f>SUM(AM37,AS37)</f>
        <v>0</v>
      </c>
      <c r="AZ37" s="51"/>
      <c r="BA37" s="51"/>
      <c r="BB37" s="51">
        <f>SUM(AP37,AV37)</f>
        <v>0</v>
      </c>
      <c r="BC37" s="51"/>
      <c r="BD37" s="51"/>
      <c r="BE37" s="7"/>
      <c r="BF37" s="7"/>
      <c r="BG37" s="7"/>
      <c r="BH37" s="7"/>
      <c r="BI37" s="7"/>
      <c r="BJ37" s="7"/>
    </row>
    <row r="38" customHeight="1" spans="1:62">
      <c r="C38" s="261" t="s">
        <v>54</v>
      </c>
      <c r="D38" s="261"/>
      <c r="E38" s="261"/>
      <c r="F38" s="261"/>
      <c r="G38" s="261"/>
      <c r="H38" s="261"/>
      <c r="I38" s="213">
        <f>SUM(I32:K37)</f>
        <v>0</v>
      </c>
      <c r="J38" s="213"/>
      <c r="K38" s="213"/>
      <c r="L38" s="214">
        <f>SUM(L32:N37)</f>
        <v>0</v>
      </c>
      <c r="M38" s="262"/>
      <c r="N38" s="217"/>
      <c r="O38" s="51">
        <f>SUM(O32:Q37)</f>
        <v>0</v>
      </c>
      <c r="P38" s="51"/>
      <c r="Q38" s="51"/>
      <c r="R38" s="51">
        <f>SUM(R32:T37)</f>
        <v>0</v>
      </c>
      <c r="S38" s="51"/>
      <c r="T38" s="51"/>
      <c r="U38" s="214">
        <f>SUM(U32:W37)</f>
        <v>0</v>
      </c>
      <c r="V38" s="262"/>
      <c r="W38" s="217"/>
      <c r="X38" s="214">
        <f>SUM(X32:Z37)</f>
        <v>0</v>
      </c>
      <c r="Y38" s="262"/>
      <c r="Z38" s="217"/>
      <c r="AA38" s="214">
        <f>SUM(AA32:AC37)</f>
        <v>0</v>
      </c>
      <c r="AB38" s="262"/>
      <c r="AC38" s="217"/>
      <c r="AD38" s="214">
        <f>SUM(AD32:AF37)</f>
        <v>0</v>
      </c>
      <c r="AE38" s="262"/>
      <c r="AF38" s="276"/>
      <c r="AG38" s="264">
        <f>SUM(AG32:AI37)</f>
        <v>0</v>
      </c>
      <c r="AH38" s="262"/>
      <c r="AI38" s="217"/>
      <c r="AJ38" s="214">
        <f>SUM(AJ32:AL37)</f>
        <v>0</v>
      </c>
      <c r="AK38" s="262"/>
      <c r="AL38" s="277"/>
      <c r="AM38" s="278">
        <f>SUM(AM32:AO37)</f>
        <v>0</v>
      </c>
      <c r="AN38" s="262"/>
      <c r="AO38" s="217"/>
      <c r="AP38" s="214">
        <f>SUM(AP32:AR37)</f>
        <v>0</v>
      </c>
      <c r="AQ38" s="262"/>
      <c r="AR38" s="217"/>
      <c r="AS38" s="213">
        <f>SUM(AS32:AU37)</f>
        <v>0</v>
      </c>
      <c r="AT38" s="213"/>
      <c r="AU38" s="213"/>
      <c r="AV38" s="213">
        <f>SUM(AV32:AX37)</f>
        <v>0</v>
      </c>
      <c r="AW38" s="213"/>
      <c r="AX38" s="214"/>
      <c r="AY38" s="215">
        <f>SUM(AY32:BA37)</f>
        <v>0</v>
      </c>
      <c r="AZ38" s="213"/>
      <c r="BA38" s="213"/>
      <c r="BB38" s="213">
        <f>SUM(BB32:BD37)</f>
        <v>0</v>
      </c>
      <c r="BC38" s="213"/>
      <c r="BD38" s="213"/>
      <c r="BE38" s="7"/>
      <c r="BF38" s="7"/>
      <c r="BG38" s="7"/>
      <c r="BH38" s="7"/>
      <c r="BI38" s="7"/>
      <c r="BJ38" s="7"/>
    </row>
    <row r="39" ht="4" customHeight="1"/>
    <row r="40" customHeight="1" spans="1:62">
      <c r="B40" s="326" t="s">
        <v>131</v>
      </c>
    </row>
    <row r="41" customHeight="1" spans="1:62">
      <c r="B41" s="81" t="s">
        <v>132</v>
      </c>
    </row>
    <row r="42" customHeight="1" spans="1:62">
      <c r="B42" s="81" t="s">
        <v>133</v>
      </c>
    </row>
    <row r="43" customHeight="1" spans="1:62">
      <c r="B43" s="81" t="s">
        <v>134</v>
      </c>
    </row>
    <row r="44" customHeight="1" spans="1:62">
      <c r="B44" s="81" t="s">
        <v>135</v>
      </c>
    </row>
    <row r="45" customHeight="1" spans="1:62">
      <c r="B45" s="81" t="s">
        <v>136</v>
      </c>
    </row>
    <row r="46" ht="4" customHeight="1"/>
    <row r="47" customHeight="1" spans="1:62">
      <c r="A47" s="85" t="s">
        <v>137</v>
      </c>
    </row>
  </sheetData>
  <sheetProtection algorithmName="SHA-512" hashValue="DAlQEYbRPxYE0pUDWVE+sO8ivjf7t17WkLSYf6b8OlDBRKWtQZLPfqAUZBqG79IS/RHQhjn0BO23MHSpbn+Sbg==" saltValue="aUOzI12IOG6q7l7Aoxg8jw==" spinCount="100000" sheet="1" objects="1" scenarios="1"/>
  <protectedRanges>
    <protectedRange sqref="L11:AC12 AD13:AP13 AQ11:BI12 I22:BD26 I33:AF37 AM33:AX37" name="IX. Table 1.A to 1.B"/>
  </protectedRanges>
  <mergeCells count="361">
    <mergeCell ref="L7:AP7"/>
    <mergeCell ref="AQ7:BI7"/>
    <mergeCell ref="L8:AC8"/>
    <mergeCell ref="AD8:AP8"/>
    <mergeCell ref="AQ8:BI8"/>
    <mergeCell ref="L9:U9"/>
    <mergeCell ref="V9:AC9"/>
    <mergeCell ref="AD9:AJ9"/>
    <mergeCell ref="AK9:AP9"/>
    <mergeCell ref="AQ9:AZ9"/>
    <mergeCell ref="BA9:BI9"/>
    <mergeCell ref="L10:P10"/>
    <mergeCell ref="Q10:U10"/>
    <mergeCell ref="V10:Y10"/>
    <mergeCell ref="Z10:AC10"/>
    <mergeCell ref="AD10:AJ10"/>
    <mergeCell ref="AK10:AP10"/>
    <mergeCell ref="AQ10:AU10"/>
    <mergeCell ref="AV10:AZ10"/>
    <mergeCell ref="BA10:BD10"/>
    <mergeCell ref="BE10:BI10"/>
    <mergeCell ref="C11:K11"/>
    <mergeCell ref="L11:P11"/>
    <mergeCell ref="Q11:U11"/>
    <mergeCell ref="V11:Y11"/>
    <mergeCell ref="Z11:AC11"/>
    <mergeCell ref="AD11:AJ11"/>
    <mergeCell ref="AK11:AP11"/>
    <mergeCell ref="AQ11:AU11"/>
    <mergeCell ref="AV11:AZ11"/>
    <mergeCell ref="BA11:BD11"/>
    <mergeCell ref="BE11:BI11"/>
    <mergeCell ref="C12:K12"/>
    <mergeCell ref="L12:P12"/>
    <mergeCell ref="Q12:U12"/>
    <mergeCell ref="V12:Y12"/>
    <mergeCell ref="Z12:AC12"/>
    <mergeCell ref="AD12:AJ12"/>
    <mergeCell ref="AK12:AP12"/>
    <mergeCell ref="AQ12:AU12"/>
    <mergeCell ref="AV12:AZ12"/>
    <mergeCell ref="BA12:BD12"/>
    <mergeCell ref="BE12:BI12"/>
    <mergeCell ref="C13:K13"/>
    <mergeCell ref="L13:P13"/>
    <mergeCell ref="Q13:U13"/>
    <mergeCell ref="V13:Y13"/>
    <mergeCell ref="Z13:AC13"/>
    <mergeCell ref="AD13:AJ13"/>
    <mergeCell ref="AK13:AP13"/>
    <mergeCell ref="AQ13:AU13"/>
    <mergeCell ref="AV13:AZ13"/>
    <mergeCell ref="BA13:BD13"/>
    <mergeCell ref="BE13:BI13"/>
    <mergeCell ref="I17:BJ17"/>
    <mergeCell ref="I20:K20"/>
    <mergeCell ref="L20:N20"/>
    <mergeCell ref="O20:Q20"/>
    <mergeCell ref="R20:T20"/>
    <mergeCell ref="U20:W20"/>
    <mergeCell ref="X20:Z20"/>
    <mergeCell ref="AA20:AC20"/>
    <mergeCell ref="AD20:AF20"/>
    <mergeCell ref="AG20:AI20"/>
    <mergeCell ref="AJ20:AL20"/>
    <mergeCell ref="AM20:AO20"/>
    <mergeCell ref="AP20:AR20"/>
    <mergeCell ref="AS20:AU20"/>
    <mergeCell ref="AV20:AX20"/>
    <mergeCell ref="AY20:BA20"/>
    <mergeCell ref="BB20:BD20"/>
    <mergeCell ref="BE20:BG20"/>
    <mergeCell ref="BH20:BJ20"/>
    <mergeCell ref="C21:H21"/>
    <mergeCell ref="I21:K21"/>
    <mergeCell ref="L21:N21"/>
    <mergeCell ref="O21:Q21"/>
    <mergeCell ref="R21:T21"/>
    <mergeCell ref="U21:W21"/>
    <mergeCell ref="X21:Z21"/>
    <mergeCell ref="AA21:AC21"/>
    <mergeCell ref="AD21:AF21"/>
    <mergeCell ref="AG21:AI21"/>
    <mergeCell ref="AJ21:AL21"/>
    <mergeCell ref="AM21:AO21"/>
    <mergeCell ref="AP21:AR21"/>
    <mergeCell ref="AS21:AU21"/>
    <mergeCell ref="AV21:AX21"/>
    <mergeCell ref="AY21:BA21"/>
    <mergeCell ref="BB21:BD21"/>
    <mergeCell ref="BE21:BG21"/>
    <mergeCell ref="BH21:BJ21"/>
    <mergeCell ref="C22:H22"/>
    <mergeCell ref="I22:K22"/>
    <mergeCell ref="L22:N22"/>
    <mergeCell ref="O22:Q22"/>
    <mergeCell ref="R22:T22"/>
    <mergeCell ref="U22:W22"/>
    <mergeCell ref="X22:Z22"/>
    <mergeCell ref="AA22:AC22"/>
    <mergeCell ref="AD22:AF22"/>
    <mergeCell ref="AG22:AI22"/>
    <mergeCell ref="AJ22:AL22"/>
    <mergeCell ref="AM22:AO22"/>
    <mergeCell ref="AP22:AR22"/>
    <mergeCell ref="AS22:AU22"/>
    <mergeCell ref="AV22:AX22"/>
    <mergeCell ref="AY22:BA22"/>
    <mergeCell ref="BB22:BD22"/>
    <mergeCell ref="BE22:BG22"/>
    <mergeCell ref="BH22:BJ22"/>
    <mergeCell ref="C23:H23"/>
    <mergeCell ref="I23:K23"/>
    <mergeCell ref="L23:N23"/>
    <mergeCell ref="O23:Q23"/>
    <mergeCell ref="R23:T23"/>
    <mergeCell ref="U23:W23"/>
    <mergeCell ref="X23:Z23"/>
    <mergeCell ref="AA23:AC23"/>
    <mergeCell ref="AD23:AF23"/>
    <mergeCell ref="AG23:AI23"/>
    <mergeCell ref="AJ23:AL23"/>
    <mergeCell ref="AM23:AO23"/>
    <mergeCell ref="AP23:AR23"/>
    <mergeCell ref="AS23:AU23"/>
    <mergeCell ref="AV23:AX23"/>
    <mergeCell ref="AY23:BA23"/>
    <mergeCell ref="BB23:BD23"/>
    <mergeCell ref="BE23:BG23"/>
    <mergeCell ref="BH23:BJ23"/>
    <mergeCell ref="C24:H24"/>
    <mergeCell ref="I24:K24"/>
    <mergeCell ref="L24:N24"/>
    <mergeCell ref="O24:Q24"/>
    <mergeCell ref="R24:T24"/>
    <mergeCell ref="U24:W24"/>
    <mergeCell ref="X24:Z24"/>
    <mergeCell ref="AA24:AC24"/>
    <mergeCell ref="AD24:AF24"/>
    <mergeCell ref="AG24:AI24"/>
    <mergeCell ref="AJ24:AL24"/>
    <mergeCell ref="AM24:AO24"/>
    <mergeCell ref="AP24:AR24"/>
    <mergeCell ref="AS24:AU24"/>
    <mergeCell ref="AV24:AX24"/>
    <mergeCell ref="AY24:BA24"/>
    <mergeCell ref="BB24:BD24"/>
    <mergeCell ref="BE24:BG24"/>
    <mergeCell ref="BH24:BJ24"/>
    <mergeCell ref="I25:K25"/>
    <mergeCell ref="L25:N25"/>
    <mergeCell ref="O25:Q25"/>
    <mergeCell ref="R25:T25"/>
    <mergeCell ref="U25:W25"/>
    <mergeCell ref="X25:Z25"/>
    <mergeCell ref="AA25:AC25"/>
    <mergeCell ref="AD25:AF25"/>
    <mergeCell ref="AG25:AI25"/>
    <mergeCell ref="AJ25:AL25"/>
    <mergeCell ref="AM25:AO25"/>
    <mergeCell ref="AP25:AR25"/>
    <mergeCell ref="AS25:AU25"/>
    <mergeCell ref="AV25:AX25"/>
    <mergeCell ref="AY25:BA25"/>
    <mergeCell ref="BB25:BD25"/>
    <mergeCell ref="BE25:BG25"/>
    <mergeCell ref="BH25:BJ25"/>
    <mergeCell ref="C26:H26"/>
    <mergeCell ref="I26:K26"/>
    <mergeCell ref="L26:N26"/>
    <mergeCell ref="O26:Q26"/>
    <mergeCell ref="R26:T26"/>
    <mergeCell ref="U26:W26"/>
    <mergeCell ref="X26:Z26"/>
    <mergeCell ref="AA26:AC26"/>
    <mergeCell ref="AD26:AF26"/>
    <mergeCell ref="AG26:AI26"/>
    <mergeCell ref="AJ26:AL26"/>
    <mergeCell ref="AM26:AO26"/>
    <mergeCell ref="AP26:AR26"/>
    <mergeCell ref="AS26:AU26"/>
    <mergeCell ref="AV26:AX26"/>
    <mergeCell ref="AY26:BA26"/>
    <mergeCell ref="BB26:BD26"/>
    <mergeCell ref="BE26:BG26"/>
    <mergeCell ref="BH26:BJ26"/>
    <mergeCell ref="C27:H27"/>
    <mergeCell ref="I27:K27"/>
    <mergeCell ref="L27:N27"/>
    <mergeCell ref="O27:Q27"/>
    <mergeCell ref="R27:T27"/>
    <mergeCell ref="U27:W27"/>
    <mergeCell ref="X27:Z27"/>
    <mergeCell ref="AA27:AC27"/>
    <mergeCell ref="AD27:AF27"/>
    <mergeCell ref="AG27:AI27"/>
    <mergeCell ref="AJ27:AL27"/>
    <mergeCell ref="AM27:AO27"/>
    <mergeCell ref="AP27:AR27"/>
    <mergeCell ref="AS27:AU27"/>
    <mergeCell ref="AV27:AX27"/>
    <mergeCell ref="AY27:BA27"/>
    <mergeCell ref="BB27:BD27"/>
    <mergeCell ref="BE27:BG27"/>
    <mergeCell ref="BH27:BJ27"/>
    <mergeCell ref="I29:AL29"/>
    <mergeCell ref="AM29:BD29"/>
    <mergeCell ref="I30:N30"/>
    <mergeCell ref="O30:T30"/>
    <mergeCell ref="U30:Z30"/>
    <mergeCell ref="AA30:AF30"/>
    <mergeCell ref="AG30:AL30"/>
    <mergeCell ref="AM30:AR30"/>
    <mergeCell ref="AS30:AX30"/>
    <mergeCell ref="AY30:BD30"/>
    <mergeCell ref="I31:K31"/>
    <mergeCell ref="L31:N31"/>
    <mergeCell ref="O31:Q31"/>
    <mergeCell ref="R31:T31"/>
    <mergeCell ref="U31:W31"/>
    <mergeCell ref="X31:Z31"/>
    <mergeCell ref="AA31:AC31"/>
    <mergeCell ref="AD31:AF31"/>
    <mergeCell ref="AG31:AI31"/>
    <mergeCell ref="AJ31:AL31"/>
    <mergeCell ref="AM31:AO31"/>
    <mergeCell ref="AP31:AR31"/>
    <mergeCell ref="AS31:AU31"/>
    <mergeCell ref="AV31:AX31"/>
    <mergeCell ref="AY31:BA31"/>
    <mergeCell ref="BB31:BD31"/>
    <mergeCell ref="C32:H32"/>
    <mergeCell ref="I32:K32"/>
    <mergeCell ref="L32:N32"/>
    <mergeCell ref="O32:Q32"/>
    <mergeCell ref="R32:T32"/>
    <mergeCell ref="U32:W32"/>
    <mergeCell ref="X32:Z32"/>
    <mergeCell ref="AA32:AC32"/>
    <mergeCell ref="AD32:AF32"/>
    <mergeCell ref="AG32:AI32"/>
    <mergeCell ref="AJ32:AL32"/>
    <mergeCell ref="AM32:AO32"/>
    <mergeCell ref="AP32:AR32"/>
    <mergeCell ref="AS32:AU32"/>
    <mergeCell ref="AV32:AX32"/>
    <mergeCell ref="AY32:BA32"/>
    <mergeCell ref="BB32:BD32"/>
    <mergeCell ref="C33:H33"/>
    <mergeCell ref="I33:K33"/>
    <mergeCell ref="L33:N33"/>
    <mergeCell ref="O33:Q33"/>
    <mergeCell ref="R33:T33"/>
    <mergeCell ref="U33:W33"/>
    <mergeCell ref="X33:Z33"/>
    <mergeCell ref="AA33:AC33"/>
    <mergeCell ref="AD33:AF33"/>
    <mergeCell ref="AG33:AI33"/>
    <mergeCell ref="AJ33:AL33"/>
    <mergeCell ref="AM33:AO33"/>
    <mergeCell ref="AP33:AR33"/>
    <mergeCell ref="AS33:AU33"/>
    <mergeCell ref="AV33:AX33"/>
    <mergeCell ref="AY33:BA33"/>
    <mergeCell ref="BB33:BD33"/>
    <mergeCell ref="C34:H34"/>
    <mergeCell ref="I34:K34"/>
    <mergeCell ref="L34:N34"/>
    <mergeCell ref="O34:Q34"/>
    <mergeCell ref="R34:T34"/>
    <mergeCell ref="U34:W34"/>
    <mergeCell ref="X34:Z34"/>
    <mergeCell ref="AA34:AC34"/>
    <mergeCell ref="AD34:AF34"/>
    <mergeCell ref="AG34:AI34"/>
    <mergeCell ref="AJ34:AL34"/>
    <mergeCell ref="AM34:AO34"/>
    <mergeCell ref="AP34:AR34"/>
    <mergeCell ref="AS34:AU34"/>
    <mergeCell ref="AV34:AX34"/>
    <mergeCell ref="AY34:BA34"/>
    <mergeCell ref="BB34:BD34"/>
    <mergeCell ref="C35:H35"/>
    <mergeCell ref="I35:K35"/>
    <mergeCell ref="L35:N35"/>
    <mergeCell ref="O35:Q35"/>
    <mergeCell ref="R35:T35"/>
    <mergeCell ref="U35:W35"/>
    <mergeCell ref="X35:Z35"/>
    <mergeCell ref="AA35:AC35"/>
    <mergeCell ref="AD35:AF35"/>
    <mergeCell ref="AG35:AI35"/>
    <mergeCell ref="AJ35:AL35"/>
    <mergeCell ref="AM35:AO35"/>
    <mergeCell ref="AP35:AR35"/>
    <mergeCell ref="AS35:AU35"/>
    <mergeCell ref="AV35:AX35"/>
    <mergeCell ref="AY35:BA35"/>
    <mergeCell ref="BB35:BD35"/>
    <mergeCell ref="I36:K36"/>
    <mergeCell ref="L36:N36"/>
    <mergeCell ref="O36:Q36"/>
    <mergeCell ref="R36:T36"/>
    <mergeCell ref="U36:W36"/>
    <mergeCell ref="X36:Z36"/>
    <mergeCell ref="AA36:AC36"/>
    <mergeCell ref="AD36:AF36"/>
    <mergeCell ref="AG36:AI36"/>
    <mergeCell ref="AJ36:AL36"/>
    <mergeCell ref="AM36:AO36"/>
    <mergeCell ref="AP36:AR36"/>
    <mergeCell ref="AS36:AU36"/>
    <mergeCell ref="AV36:AX36"/>
    <mergeCell ref="AY36:BA36"/>
    <mergeCell ref="BB36:BD36"/>
    <mergeCell ref="C37:H37"/>
    <mergeCell ref="I37:K37"/>
    <mergeCell ref="L37:N37"/>
    <mergeCell ref="O37:Q37"/>
    <mergeCell ref="R37:T37"/>
    <mergeCell ref="U37:W37"/>
    <mergeCell ref="X37:Z37"/>
    <mergeCell ref="AA37:AC37"/>
    <mergeCell ref="AD37:AF37"/>
    <mergeCell ref="AG37:AI37"/>
    <mergeCell ref="AJ37:AL37"/>
    <mergeCell ref="AM37:AO37"/>
    <mergeCell ref="AP37:AR37"/>
    <mergeCell ref="AS37:AU37"/>
    <mergeCell ref="AV37:AX37"/>
    <mergeCell ref="AY37:BA37"/>
    <mergeCell ref="BB37:BD37"/>
    <mergeCell ref="C38:H38"/>
    <mergeCell ref="I38:K38"/>
    <mergeCell ref="L38:N38"/>
    <mergeCell ref="O38:Q38"/>
    <mergeCell ref="R38:T38"/>
    <mergeCell ref="U38:W38"/>
    <mergeCell ref="X38:Z38"/>
    <mergeCell ref="AA38:AC38"/>
    <mergeCell ref="AD38:AF38"/>
    <mergeCell ref="AG38:AI38"/>
    <mergeCell ref="AJ38:AL38"/>
    <mergeCell ref="AM38:AO38"/>
    <mergeCell ref="AP38:AR38"/>
    <mergeCell ref="AS38:AU38"/>
    <mergeCell ref="AV38:AX38"/>
    <mergeCell ref="AY38:BA38"/>
    <mergeCell ref="BB38:BD38"/>
    <mergeCell ref="C7:K10"/>
    <mergeCell ref="C17:H20"/>
    <mergeCell ref="I18:N19"/>
    <mergeCell ref="O18:T19"/>
    <mergeCell ref="U18:Z19"/>
    <mergeCell ref="AA18:AF19"/>
    <mergeCell ref="AG18:AL19"/>
    <mergeCell ref="AM18:AR19"/>
    <mergeCell ref="AS18:AX19"/>
    <mergeCell ref="AY18:BD19"/>
    <mergeCell ref="BE18:BJ19"/>
    <mergeCell ref="C29:H31"/>
  </mergeCells>
  <dataValidations count="2">
    <dataValidation type="whole" operator="between" allowBlank="1" showInputMessage="1" showErrorMessage="1" errorTitle="GSP SY 2025-2026" error="Please enter a valid number from 0 to 20,000." sqref="AD13:AP13 I22:BD26 I33:AF36 L11:AC12 AM33:AX37 AQ11:BI12">
      <formula1>0</formula1>
      <formula2>20000</formula2>
    </dataValidation>
    <dataValidation type="whole" operator="between" allowBlank="1" showInputMessage="1" showErrorMessage="1" errorTitle="GSP SY 2025-2026" error="Please enter a valid number between 0 - 20,000." sqref="I37:AF37">
      <formula1>0</formula1>
      <formula2>20000</formula2>
    </dataValidation>
  </dataValidations>
  <printOptions horizontalCentered="1"/>
  <pageMargins left="0.15748031496063" right="0.15748031496063" top="0.15748031496063" bottom="0.31496062992126" header="0.31496062992126" footer="0.15748031496063"/>
  <pageSetup paperSize="9" scale="104" orientation="landscape"/>
  <headerFooter>
    <oddFooter>&amp;LGSP, SY 2025-2026&amp;RPage 49 of 85</oddFooter>
  </headerFooter>
  <colBreaks count="1" manualBreakCount="1">
    <brk id="83" max="4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F09A"/>
  </sheetPr>
  <dimension ref="A1:BF66"/>
  <sheetViews>
    <sheetView showGridLines="0" view="pageBreakPreview" zoomScaleNormal="100" workbookViewId="0">
      <selection activeCell="L12" sqref="L12:P12"/>
    </sheetView>
  </sheetViews>
  <sheetFormatPr defaultColWidth="2.18181818181818" defaultRowHeight="12" customHeight="1"/>
  <cols>
    <col min="1" max="1" width="0.272727272727273" style="2" customWidth="1"/>
    <col min="2" max="12" width="2.18181818181818" style="2"/>
    <col min="13" max="13" width="1.18181818181818" style="2" customWidth="1"/>
    <col min="14" max="17" width="2.18181818181818" style="2"/>
    <col min="18" max="18" width="1.18181818181818" style="2" customWidth="1"/>
    <col min="19" max="22" width="2.18181818181818" style="2"/>
    <col min="23" max="23" width="1.18181818181818" style="2" customWidth="1"/>
    <col min="24" max="27" width="2.18181818181818" style="2"/>
    <col min="28" max="28" width="1.18181818181818" style="2" customWidth="1"/>
    <col min="29" max="32" width="2.18181818181818" style="2"/>
    <col min="33" max="33" width="1.18181818181818" style="2" customWidth="1"/>
    <col min="34" max="37" width="2.18181818181818" style="2"/>
    <col min="38" max="38" width="1.18181818181818" style="2" customWidth="1"/>
    <col min="39" max="42" width="2.18181818181818" style="2"/>
    <col min="43" max="43" width="1.18181818181818" style="2" customWidth="1"/>
    <col min="44" max="45" width="2.18181818181818" style="2"/>
    <col min="46" max="47" width="2.18181818181818" style="2" customWidth="1"/>
    <col min="48" max="48" width="1.18181818181818" style="2" customWidth="1"/>
    <col min="49" max="52" width="2.18181818181818" style="2"/>
    <col min="53" max="53" width="1.18181818181818" style="2" customWidth="1"/>
    <col min="54" max="55" width="2.18181818181818" style="2"/>
    <col min="56" max="57" width="0.272727272727273" style="2" customWidth="1"/>
    <col min="58" max="16384" width="2.18181818181818" style="2"/>
  </cols>
  <sheetData>
    <row r="1" customHeight="1" spans="1:58">
      <c r="A1" s="3" t="s">
        <v>93</v>
      </c>
      <c r="B1" s="181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F1" s="5"/>
    </row>
    <row r="2" customHeight="1" spans="1:58">
      <c r="A2" s="3" t="s">
        <v>28</v>
      </c>
      <c r="B2" s="181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F2" s="5"/>
    </row>
    <row r="3" customHeight="1" spans="1:58">
      <c r="A3" s="182" t="s">
        <v>94</v>
      </c>
      <c r="B3" s="18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F3" s="5"/>
    </row>
    <row r="4" ht="4" customHeight="1" spans="1:5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F4" s="5"/>
    </row>
    <row r="5" customHeight="1" spans="1:58">
      <c r="A5" s="4" t="s">
        <v>138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F5" s="5"/>
    </row>
    <row r="6" ht="4" customHeight="1" spans="1:5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F6" s="5"/>
    </row>
    <row r="7" customHeight="1" spans="1:58">
      <c r="A7" s="4"/>
      <c r="B7" s="4"/>
      <c r="C7" s="62" t="s">
        <v>139</v>
      </c>
      <c r="D7" s="63"/>
      <c r="E7" s="63"/>
      <c r="F7" s="63"/>
      <c r="G7" s="63"/>
      <c r="H7" s="63"/>
      <c r="I7" s="63"/>
      <c r="J7" s="63"/>
      <c r="K7" s="64"/>
      <c r="L7" s="42" t="s">
        <v>140</v>
      </c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F7" s="5"/>
    </row>
    <row r="8" customHeight="1" spans="1:58">
      <c r="A8" s="7"/>
      <c r="B8" s="4"/>
      <c r="C8" s="183"/>
      <c r="D8" s="156"/>
      <c r="E8" s="156"/>
      <c r="F8" s="156"/>
      <c r="G8" s="156"/>
      <c r="H8" s="156"/>
      <c r="I8" s="156"/>
      <c r="J8" s="156"/>
      <c r="K8" s="184"/>
      <c r="L8" s="42" t="s">
        <v>141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65"/>
      <c r="AA8" s="41" t="s">
        <v>142</v>
      </c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F8" s="5"/>
    </row>
    <row r="9" customHeight="1" spans="1:58">
      <c r="A9" s="7"/>
      <c r="B9" s="4"/>
      <c r="C9" s="68"/>
      <c r="D9" s="69"/>
      <c r="E9" s="69"/>
      <c r="F9" s="69"/>
      <c r="G9" s="69"/>
      <c r="H9" s="69"/>
      <c r="I9" s="69"/>
      <c r="J9" s="69"/>
      <c r="K9" s="70"/>
      <c r="L9" s="42" t="s">
        <v>106</v>
      </c>
      <c r="M9" s="42"/>
      <c r="N9" s="42"/>
      <c r="O9" s="42"/>
      <c r="P9" s="42"/>
      <c r="Q9" s="42" t="s">
        <v>107</v>
      </c>
      <c r="R9" s="42"/>
      <c r="S9" s="42"/>
      <c r="T9" s="42"/>
      <c r="U9" s="39"/>
      <c r="V9" s="44" t="s">
        <v>54</v>
      </c>
      <c r="W9" s="42"/>
      <c r="X9" s="42"/>
      <c r="Y9" s="42"/>
      <c r="Z9" s="65"/>
      <c r="AA9" s="41" t="s">
        <v>106</v>
      </c>
      <c r="AB9" s="42"/>
      <c r="AC9" s="42"/>
      <c r="AD9" s="42"/>
      <c r="AE9" s="42"/>
      <c r="AF9" s="42" t="s">
        <v>107</v>
      </c>
      <c r="AG9" s="42"/>
      <c r="AH9" s="42"/>
      <c r="AI9" s="42"/>
      <c r="AJ9" s="39"/>
      <c r="AK9" s="44" t="s">
        <v>54</v>
      </c>
      <c r="AL9" s="42"/>
      <c r="AM9" s="42"/>
      <c r="AN9" s="42"/>
      <c r="AO9" s="42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F9" s="5"/>
    </row>
    <row r="10" customHeight="1" spans="1:58">
      <c r="A10" s="4"/>
      <c r="B10" s="4"/>
      <c r="C10" s="185" t="s">
        <v>97</v>
      </c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7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F10" s="5"/>
    </row>
    <row r="11" customHeight="1" spans="1:58">
      <c r="A11" s="4"/>
      <c r="B11" s="4"/>
      <c r="C11" s="188" t="s">
        <v>113</v>
      </c>
      <c r="D11" s="189"/>
      <c r="E11" s="189"/>
      <c r="F11" s="189"/>
      <c r="G11" s="189"/>
      <c r="H11" s="189"/>
      <c r="I11" s="189"/>
      <c r="J11" s="189"/>
      <c r="K11" s="190"/>
      <c r="L11" s="45"/>
      <c r="M11" s="45"/>
      <c r="N11" s="45"/>
      <c r="O11" s="45"/>
      <c r="P11" s="45"/>
      <c r="Q11" s="45"/>
      <c r="R11" s="45"/>
      <c r="S11" s="45"/>
      <c r="T11" s="45"/>
      <c r="U11" s="46"/>
      <c r="V11" s="50">
        <f>SUM(L11:U11)</f>
        <v>0</v>
      </c>
      <c r="W11" s="51"/>
      <c r="X11" s="51"/>
      <c r="Y11" s="51"/>
      <c r="Z11" s="74"/>
      <c r="AA11" s="191"/>
      <c r="AB11" s="45"/>
      <c r="AC11" s="45"/>
      <c r="AD11" s="45"/>
      <c r="AE11" s="45"/>
      <c r="AF11" s="45"/>
      <c r="AG11" s="45"/>
      <c r="AH11" s="45"/>
      <c r="AI11" s="45"/>
      <c r="AJ11" s="46"/>
      <c r="AK11" s="50">
        <f>SUM(AA11:AJ11)</f>
        <v>0</v>
      </c>
      <c r="AL11" s="51"/>
      <c r="AM11" s="51"/>
      <c r="AN11" s="51"/>
      <c r="AO11" s="51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F11" s="5"/>
    </row>
    <row r="12" customHeight="1" spans="1:58">
      <c r="A12" s="4"/>
      <c r="B12" s="4"/>
      <c r="C12" s="188" t="s">
        <v>99</v>
      </c>
      <c r="D12" s="189"/>
      <c r="E12" s="189"/>
      <c r="F12" s="189"/>
      <c r="G12" s="189"/>
      <c r="H12" s="189"/>
      <c r="I12" s="189"/>
      <c r="J12" s="189"/>
      <c r="K12" s="190"/>
      <c r="L12" s="45"/>
      <c r="M12" s="45"/>
      <c r="N12" s="45"/>
      <c r="O12" s="45"/>
      <c r="P12" s="45"/>
      <c r="Q12" s="45"/>
      <c r="R12" s="45"/>
      <c r="S12" s="45"/>
      <c r="T12" s="45"/>
      <c r="U12" s="46"/>
      <c r="V12" s="50">
        <f>SUM(L12:U12)</f>
        <v>0</v>
      </c>
      <c r="W12" s="51"/>
      <c r="X12" s="51"/>
      <c r="Y12" s="51"/>
      <c r="Z12" s="74"/>
      <c r="AA12" s="191"/>
      <c r="AB12" s="45"/>
      <c r="AC12" s="45"/>
      <c r="AD12" s="45"/>
      <c r="AE12" s="45"/>
      <c r="AF12" s="45"/>
      <c r="AG12" s="45"/>
      <c r="AH12" s="45"/>
      <c r="AI12" s="45"/>
      <c r="AJ12" s="46"/>
      <c r="AK12" s="50">
        <f>SUM(AA12:AJ12)</f>
        <v>0</v>
      </c>
      <c r="AL12" s="51"/>
      <c r="AM12" s="51"/>
      <c r="AN12" s="51"/>
      <c r="AO12" s="51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F12" s="5"/>
    </row>
    <row r="13" customHeight="1" spans="1:58">
      <c r="A13" s="4"/>
      <c r="B13" s="4"/>
      <c r="C13" s="188" t="s">
        <v>114</v>
      </c>
      <c r="D13" s="189"/>
      <c r="E13" s="189"/>
      <c r="F13" s="189"/>
      <c r="G13" s="189"/>
      <c r="H13" s="189"/>
      <c r="I13" s="189"/>
      <c r="J13" s="189"/>
      <c r="K13" s="190"/>
      <c r="L13" s="45"/>
      <c r="M13" s="45"/>
      <c r="N13" s="45"/>
      <c r="O13" s="45"/>
      <c r="P13" s="45"/>
      <c r="Q13" s="45"/>
      <c r="R13" s="45"/>
      <c r="S13" s="45"/>
      <c r="T13" s="45"/>
      <c r="U13" s="46"/>
      <c r="V13" s="50">
        <f>SUM(L13:U13)</f>
        <v>0</v>
      </c>
      <c r="W13" s="51"/>
      <c r="X13" s="51"/>
      <c r="Y13" s="51"/>
      <c r="Z13" s="74"/>
      <c r="AA13" s="191"/>
      <c r="AB13" s="45"/>
      <c r="AC13" s="45"/>
      <c r="AD13" s="45"/>
      <c r="AE13" s="45"/>
      <c r="AF13" s="45"/>
      <c r="AG13" s="45"/>
      <c r="AH13" s="45"/>
      <c r="AI13" s="45"/>
      <c r="AJ13" s="46"/>
      <c r="AK13" s="50">
        <f>SUM(AA13:AJ13)</f>
        <v>0</v>
      </c>
      <c r="AL13" s="51"/>
      <c r="AM13" s="51"/>
      <c r="AN13" s="51"/>
      <c r="AO13" s="51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F13" s="5"/>
    </row>
    <row r="14" customHeight="1" spans="1:58">
      <c r="A14" s="4"/>
      <c r="B14" s="4"/>
      <c r="C14" s="188" t="s">
        <v>115</v>
      </c>
      <c r="D14" s="189"/>
      <c r="E14" s="189"/>
      <c r="F14" s="189"/>
      <c r="G14" s="189"/>
      <c r="H14" s="189"/>
      <c r="I14" s="189"/>
      <c r="J14" s="189"/>
      <c r="K14" s="190"/>
      <c r="L14" s="45"/>
      <c r="M14" s="45"/>
      <c r="N14" s="45"/>
      <c r="O14" s="45"/>
      <c r="P14" s="45"/>
      <c r="Q14" s="45"/>
      <c r="R14" s="45"/>
      <c r="S14" s="45"/>
      <c r="T14" s="45"/>
      <c r="U14" s="46"/>
      <c r="V14" s="50">
        <f>SUM(L14:U14)</f>
        <v>0</v>
      </c>
      <c r="W14" s="51"/>
      <c r="X14" s="51"/>
      <c r="Y14" s="51"/>
      <c r="Z14" s="74"/>
      <c r="AA14" s="191"/>
      <c r="AB14" s="45"/>
      <c r="AC14" s="45"/>
      <c r="AD14" s="45"/>
      <c r="AE14" s="45"/>
      <c r="AF14" s="45"/>
      <c r="AG14" s="45"/>
      <c r="AH14" s="45"/>
      <c r="AI14" s="45"/>
      <c r="AJ14" s="46"/>
      <c r="AK14" s="50">
        <f>SUM(AA14:AJ14)</f>
        <v>0</v>
      </c>
      <c r="AL14" s="51"/>
      <c r="AM14" s="51"/>
      <c r="AN14" s="51"/>
      <c r="AO14" s="51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F14" s="5"/>
    </row>
    <row r="15" customHeight="1" spans="1:58">
      <c r="A15" s="4"/>
      <c r="B15" s="4"/>
      <c r="C15" s="188" t="s">
        <v>100</v>
      </c>
      <c r="D15" s="189"/>
      <c r="E15" s="189"/>
      <c r="F15" s="189"/>
      <c r="G15" s="189"/>
      <c r="H15" s="189"/>
      <c r="I15" s="189"/>
      <c r="J15" s="189"/>
      <c r="K15" s="190"/>
      <c r="L15" s="45"/>
      <c r="M15" s="45"/>
      <c r="N15" s="45"/>
      <c r="O15" s="45"/>
      <c r="P15" s="45"/>
      <c r="Q15" s="45"/>
      <c r="R15" s="45"/>
      <c r="S15" s="45"/>
      <c r="T15" s="45"/>
      <c r="U15" s="46"/>
      <c r="V15" s="50">
        <f>SUM(L15:U15)</f>
        <v>0</v>
      </c>
      <c r="W15" s="51"/>
      <c r="X15" s="51"/>
      <c r="Y15" s="51"/>
      <c r="Z15" s="74"/>
      <c r="AA15" s="191"/>
      <c r="AB15" s="45"/>
      <c r="AC15" s="45"/>
      <c r="AD15" s="45"/>
      <c r="AE15" s="45"/>
      <c r="AF15" s="45"/>
      <c r="AG15" s="45"/>
      <c r="AH15" s="45"/>
      <c r="AI15" s="45"/>
      <c r="AJ15" s="46"/>
      <c r="AK15" s="50">
        <f>SUM(AA15:AJ15)</f>
        <v>0</v>
      </c>
      <c r="AL15" s="51"/>
      <c r="AM15" s="51"/>
      <c r="AN15" s="51"/>
      <c r="AO15" s="51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F15" s="5"/>
    </row>
    <row r="16" customHeight="1" spans="1:58">
      <c r="A16" s="4"/>
      <c r="B16" s="4"/>
      <c r="C16" s="188" t="s">
        <v>116</v>
      </c>
      <c r="D16" s="189"/>
      <c r="E16" s="189"/>
      <c r="F16" s="189"/>
      <c r="G16" s="189"/>
      <c r="H16" s="189"/>
      <c r="I16" s="189"/>
      <c r="J16" s="189"/>
      <c r="K16" s="190"/>
      <c r="L16" s="45"/>
      <c r="M16" s="45"/>
      <c r="N16" s="45"/>
      <c r="O16" s="45"/>
      <c r="P16" s="45"/>
      <c r="Q16" s="45"/>
      <c r="R16" s="45"/>
      <c r="S16" s="45"/>
      <c r="T16" s="45"/>
      <c r="U16" s="46"/>
      <c r="V16" s="50">
        <f>SUM(L16:U16)</f>
        <v>0</v>
      </c>
      <c r="W16" s="51"/>
      <c r="X16" s="51"/>
      <c r="Y16" s="51"/>
      <c r="Z16" s="74"/>
      <c r="AA16" s="191"/>
      <c r="AB16" s="45"/>
      <c r="AC16" s="45"/>
      <c r="AD16" s="45"/>
      <c r="AE16" s="45"/>
      <c r="AF16" s="45"/>
      <c r="AG16" s="45"/>
      <c r="AH16" s="45"/>
      <c r="AI16" s="45"/>
      <c r="AJ16" s="46"/>
      <c r="AK16" s="50">
        <f>SUM(AA16:AJ16)</f>
        <v>0</v>
      </c>
      <c r="AL16" s="51"/>
      <c r="AM16" s="51"/>
      <c r="AN16" s="51"/>
      <c r="AO16" s="51"/>
      <c r="AP16" s="7"/>
      <c r="AQ16" s="7"/>
      <c r="AR16" s="7"/>
      <c r="AS16" s="7"/>
      <c r="AT16" s="7"/>
      <c r="AU16" s="4"/>
      <c r="AV16" s="4"/>
      <c r="AW16" s="4"/>
      <c r="AX16" s="4"/>
      <c r="AY16" s="4"/>
      <c r="AZ16" s="4"/>
      <c r="BA16" s="4"/>
      <c r="BB16" s="4"/>
      <c r="BC16" s="4"/>
      <c r="BD16" s="4"/>
      <c r="BF16" s="5"/>
    </row>
    <row r="17" customHeight="1" spans="1:58">
      <c r="A17" s="4"/>
      <c r="B17" s="4"/>
      <c r="C17" s="188" t="s">
        <v>117</v>
      </c>
      <c r="D17" s="189"/>
      <c r="E17" s="189"/>
      <c r="F17" s="189"/>
      <c r="G17" s="189"/>
      <c r="H17" s="189"/>
      <c r="I17" s="189"/>
      <c r="J17" s="189"/>
      <c r="K17" s="190"/>
      <c r="L17" s="45"/>
      <c r="M17" s="45"/>
      <c r="N17" s="45"/>
      <c r="O17" s="45"/>
      <c r="P17" s="45"/>
      <c r="Q17" s="45"/>
      <c r="R17" s="45"/>
      <c r="S17" s="45"/>
      <c r="T17" s="45"/>
      <c r="U17" s="46"/>
      <c r="V17" s="50">
        <f>SUM(L17:U17)</f>
        <v>0</v>
      </c>
      <c r="W17" s="51"/>
      <c r="X17" s="51"/>
      <c r="Y17" s="51"/>
      <c r="Z17" s="74"/>
      <c r="AA17" s="191"/>
      <c r="AB17" s="45"/>
      <c r="AC17" s="45"/>
      <c r="AD17" s="45"/>
      <c r="AE17" s="45"/>
      <c r="AF17" s="45"/>
      <c r="AG17" s="45"/>
      <c r="AH17" s="45"/>
      <c r="AI17" s="45"/>
      <c r="AJ17" s="46"/>
      <c r="AK17" s="50">
        <f>SUM(AA17:AJ17)</f>
        <v>0</v>
      </c>
      <c r="AL17" s="51"/>
      <c r="AM17" s="51"/>
      <c r="AN17" s="51"/>
      <c r="AO17" s="51"/>
      <c r="AP17" s="192"/>
      <c r="AQ17" s="192"/>
      <c r="AR17" s="192"/>
      <c r="AS17" s="192"/>
      <c r="AT17" s="192"/>
      <c r="AU17" s="4"/>
      <c r="AV17" s="4"/>
      <c r="AW17" s="4"/>
      <c r="AX17" s="4"/>
      <c r="AY17" s="4"/>
      <c r="AZ17" s="4"/>
      <c r="BA17" s="4"/>
      <c r="BB17" s="4"/>
      <c r="BC17" s="4"/>
      <c r="BD17" s="4"/>
      <c r="BF17" s="5"/>
    </row>
    <row r="18" customHeight="1" spans="1:58">
      <c r="A18" s="4"/>
      <c r="B18" s="4"/>
      <c r="C18" s="193" t="s">
        <v>143</v>
      </c>
      <c r="D18" s="194"/>
      <c r="E18" s="194"/>
      <c r="F18" s="194"/>
      <c r="G18" s="194"/>
      <c r="H18" s="194"/>
      <c r="I18" s="194"/>
      <c r="J18" s="194"/>
      <c r="K18" s="195"/>
      <c r="L18" s="45"/>
      <c r="M18" s="45"/>
      <c r="N18" s="45"/>
      <c r="O18" s="45"/>
      <c r="P18" s="45"/>
      <c r="Q18" s="45"/>
      <c r="R18" s="45"/>
      <c r="S18" s="45"/>
      <c r="T18" s="45"/>
      <c r="U18" s="46"/>
      <c r="V18" s="50">
        <f>SUM(L18:U18)</f>
        <v>0</v>
      </c>
      <c r="W18" s="51"/>
      <c r="X18" s="51"/>
      <c r="Y18" s="51"/>
      <c r="Z18" s="74"/>
      <c r="AA18" s="191"/>
      <c r="AB18" s="45"/>
      <c r="AC18" s="45"/>
      <c r="AD18" s="45"/>
      <c r="AE18" s="45"/>
      <c r="AF18" s="45"/>
      <c r="AG18" s="45"/>
      <c r="AH18" s="45"/>
      <c r="AI18" s="45"/>
      <c r="AJ18" s="46"/>
      <c r="AK18" s="50">
        <f>SUM(AA18:AJ18)</f>
        <v>0</v>
      </c>
      <c r="AL18" s="51"/>
      <c r="AM18" s="51"/>
      <c r="AN18" s="51"/>
      <c r="AO18" s="51"/>
      <c r="AP18" s="196"/>
      <c r="AQ18" s="196"/>
      <c r="AR18" s="196"/>
      <c r="AS18" s="196"/>
      <c r="AT18" s="196"/>
      <c r="AU18" s="4"/>
      <c r="AV18" s="4"/>
      <c r="AW18" s="4"/>
      <c r="AX18" s="4"/>
      <c r="AY18" s="4"/>
      <c r="AZ18" s="4"/>
      <c r="BA18" s="4"/>
      <c r="BB18" s="4"/>
      <c r="BC18" s="4"/>
      <c r="BD18" s="4"/>
      <c r="BF18" s="5"/>
    </row>
    <row r="19" customHeight="1" spans="1:58">
      <c r="A19" s="4"/>
      <c r="B19" s="4"/>
      <c r="C19" s="197" t="s">
        <v>54</v>
      </c>
      <c r="D19" s="198"/>
      <c r="E19" s="198"/>
      <c r="F19" s="198"/>
      <c r="G19" s="198"/>
      <c r="H19" s="198"/>
      <c r="I19" s="198"/>
      <c r="J19" s="198"/>
      <c r="K19" s="199"/>
      <c r="L19" s="200">
        <f>SUM(L11:P18)</f>
        <v>0</v>
      </c>
      <c r="M19" s="200"/>
      <c r="N19" s="200"/>
      <c r="O19" s="200"/>
      <c r="P19" s="200"/>
      <c r="Q19" s="200">
        <f>SUM(Q11:U18)</f>
        <v>0</v>
      </c>
      <c r="R19" s="200"/>
      <c r="S19" s="200"/>
      <c r="T19" s="200"/>
      <c r="U19" s="201"/>
      <c r="V19" s="202">
        <f>SUM(V11:Z18)</f>
        <v>0</v>
      </c>
      <c r="W19" s="200"/>
      <c r="X19" s="200"/>
      <c r="Y19" s="200"/>
      <c r="Z19" s="203"/>
      <c r="AA19" s="204">
        <f>SUM(AA11:AE18)</f>
        <v>0</v>
      </c>
      <c r="AB19" s="200"/>
      <c r="AC19" s="200"/>
      <c r="AD19" s="200"/>
      <c r="AE19" s="200"/>
      <c r="AF19" s="200">
        <f>SUM(AF11:AJ18)</f>
        <v>0</v>
      </c>
      <c r="AG19" s="200"/>
      <c r="AH19" s="200"/>
      <c r="AI19" s="200"/>
      <c r="AJ19" s="201"/>
      <c r="AK19" s="202">
        <f>SUM(AK11:AO18)</f>
        <v>0</v>
      </c>
      <c r="AL19" s="200"/>
      <c r="AM19" s="200"/>
      <c r="AN19" s="200"/>
      <c r="AO19" s="200"/>
      <c r="AP19" s="196"/>
      <c r="AQ19" s="196"/>
      <c r="AR19" s="196"/>
      <c r="AS19" s="196"/>
      <c r="AT19" s="196"/>
      <c r="AU19" s="4"/>
      <c r="AV19" s="4"/>
      <c r="AW19" s="4"/>
      <c r="AX19" s="4"/>
      <c r="AY19" s="4"/>
      <c r="AZ19" s="4"/>
      <c r="BA19" s="4"/>
      <c r="BB19" s="4"/>
      <c r="BC19" s="4"/>
      <c r="BD19" s="4"/>
      <c r="BF19" s="5"/>
    </row>
    <row r="20" customHeight="1" spans="1:58">
      <c r="A20" s="4"/>
      <c r="B20" s="4"/>
      <c r="C20" s="205" t="s">
        <v>98</v>
      </c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  <c r="AA20" s="206"/>
      <c r="AB20" s="206"/>
      <c r="AC20" s="206"/>
      <c r="AD20" s="206"/>
      <c r="AE20" s="206"/>
      <c r="AF20" s="206"/>
      <c r="AG20" s="206"/>
      <c r="AH20" s="206"/>
      <c r="AI20" s="206"/>
      <c r="AJ20" s="206"/>
      <c r="AK20" s="206"/>
      <c r="AL20" s="206"/>
      <c r="AM20" s="206"/>
      <c r="AN20" s="206"/>
      <c r="AO20" s="207"/>
      <c r="AP20" s="196"/>
      <c r="AQ20" s="196"/>
      <c r="AR20" s="196"/>
      <c r="AS20" s="196"/>
      <c r="AT20" s="196"/>
      <c r="AU20" s="4"/>
      <c r="AV20" s="4"/>
      <c r="AW20" s="4"/>
      <c r="AX20" s="4"/>
      <c r="AY20" s="4"/>
      <c r="AZ20" s="4"/>
      <c r="BA20" s="4"/>
      <c r="BB20" s="4"/>
      <c r="BC20" s="4"/>
      <c r="BD20" s="4"/>
      <c r="BF20" s="5"/>
    </row>
    <row r="21" customHeight="1" spans="1:58">
      <c r="A21" s="4"/>
      <c r="B21" s="4"/>
      <c r="C21" s="188" t="s">
        <v>101</v>
      </c>
      <c r="D21" s="189"/>
      <c r="E21" s="189"/>
      <c r="F21" s="189"/>
      <c r="G21" s="189"/>
      <c r="H21" s="189"/>
      <c r="I21" s="189"/>
      <c r="J21" s="189"/>
      <c r="K21" s="190"/>
      <c r="L21" s="45"/>
      <c r="M21" s="45"/>
      <c r="N21" s="45"/>
      <c r="O21" s="45"/>
      <c r="P21" s="45"/>
      <c r="Q21" s="45"/>
      <c r="R21" s="45"/>
      <c r="S21" s="45"/>
      <c r="T21" s="45"/>
      <c r="U21" s="46"/>
      <c r="V21" s="50">
        <f>SUM(L21:U21)</f>
        <v>0</v>
      </c>
      <c r="W21" s="51"/>
      <c r="X21" s="51"/>
      <c r="Y21" s="51"/>
      <c r="Z21" s="74"/>
      <c r="AA21" s="191"/>
      <c r="AB21" s="45"/>
      <c r="AC21" s="45"/>
      <c r="AD21" s="45"/>
      <c r="AE21" s="45"/>
      <c r="AF21" s="45"/>
      <c r="AG21" s="45"/>
      <c r="AH21" s="45"/>
      <c r="AI21" s="45"/>
      <c r="AJ21" s="46"/>
      <c r="AK21" s="50">
        <f>SUM(AA21:AJ21)</f>
        <v>0</v>
      </c>
      <c r="AL21" s="51"/>
      <c r="AM21" s="51"/>
      <c r="AN21" s="51"/>
      <c r="AO21" s="51"/>
      <c r="AP21" s="196"/>
      <c r="AQ21" s="196"/>
      <c r="AR21" s="196"/>
      <c r="AS21" s="196"/>
      <c r="AT21" s="196"/>
      <c r="AU21" s="4"/>
      <c r="AV21" s="4"/>
      <c r="AW21" s="4"/>
      <c r="AX21" s="4"/>
      <c r="AY21" s="4"/>
      <c r="AZ21" s="4"/>
      <c r="BA21" s="4"/>
      <c r="BB21" s="4"/>
      <c r="BC21" s="4"/>
      <c r="BD21" s="4"/>
      <c r="BF21" s="5"/>
    </row>
    <row r="22" customHeight="1" spans="1:58">
      <c r="A22" s="4"/>
      <c r="B22" s="4"/>
      <c r="C22" s="188" t="s">
        <v>126</v>
      </c>
      <c r="D22" s="189"/>
      <c r="E22" s="189"/>
      <c r="F22" s="189"/>
      <c r="G22" s="189"/>
      <c r="H22" s="189"/>
      <c r="I22" s="189"/>
      <c r="J22" s="189"/>
      <c r="K22" s="190"/>
      <c r="L22" s="45"/>
      <c r="M22" s="45"/>
      <c r="N22" s="45"/>
      <c r="O22" s="45"/>
      <c r="P22" s="45"/>
      <c r="Q22" s="45"/>
      <c r="R22" s="45"/>
      <c r="S22" s="45"/>
      <c r="T22" s="45"/>
      <c r="U22" s="46"/>
      <c r="V22" s="50">
        <f>SUM(L22:U22)</f>
        <v>0</v>
      </c>
      <c r="W22" s="51"/>
      <c r="X22" s="51"/>
      <c r="Y22" s="51"/>
      <c r="Z22" s="74"/>
      <c r="AA22" s="191"/>
      <c r="AB22" s="45"/>
      <c r="AC22" s="45"/>
      <c r="AD22" s="45"/>
      <c r="AE22" s="45"/>
      <c r="AF22" s="45"/>
      <c r="AG22" s="45"/>
      <c r="AH22" s="45"/>
      <c r="AI22" s="45"/>
      <c r="AJ22" s="46"/>
      <c r="AK22" s="50">
        <f>SUM(AA22:AJ22)</f>
        <v>0</v>
      </c>
      <c r="AL22" s="51"/>
      <c r="AM22" s="51"/>
      <c r="AN22" s="51"/>
      <c r="AO22" s="51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F22" s="5"/>
    </row>
    <row r="23" customHeight="1" spans="1:58">
      <c r="A23" s="4"/>
      <c r="B23" s="4"/>
      <c r="C23" s="188" t="s">
        <v>127</v>
      </c>
      <c r="D23" s="189"/>
      <c r="E23" s="189"/>
      <c r="F23" s="189"/>
      <c r="G23" s="189"/>
      <c r="H23" s="189"/>
      <c r="I23" s="189"/>
      <c r="J23" s="189"/>
      <c r="K23" s="190"/>
      <c r="L23" s="45"/>
      <c r="M23" s="45"/>
      <c r="N23" s="45"/>
      <c r="O23" s="45"/>
      <c r="P23" s="45"/>
      <c r="Q23" s="45"/>
      <c r="R23" s="45"/>
      <c r="S23" s="45"/>
      <c r="T23" s="45"/>
      <c r="U23" s="46"/>
      <c r="V23" s="50">
        <f>SUM(L23:U23)</f>
        <v>0</v>
      </c>
      <c r="W23" s="51"/>
      <c r="X23" s="51"/>
      <c r="Y23" s="51"/>
      <c r="Z23" s="74"/>
      <c r="AA23" s="191"/>
      <c r="AB23" s="45"/>
      <c r="AC23" s="45"/>
      <c r="AD23" s="45"/>
      <c r="AE23" s="45"/>
      <c r="AF23" s="45"/>
      <c r="AG23" s="45"/>
      <c r="AH23" s="45"/>
      <c r="AI23" s="45"/>
      <c r="AJ23" s="46"/>
      <c r="AK23" s="50">
        <f>SUM(AA23:AJ23)</f>
        <v>0</v>
      </c>
      <c r="AL23" s="51"/>
      <c r="AM23" s="51"/>
      <c r="AN23" s="51"/>
      <c r="AO23" s="51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F23" s="5"/>
    </row>
    <row r="24" customHeight="1" spans="1:58">
      <c r="A24" s="4"/>
      <c r="B24" s="4"/>
      <c r="C24" s="193" t="s">
        <v>128</v>
      </c>
      <c r="D24" s="194"/>
      <c r="E24" s="194"/>
      <c r="F24" s="194"/>
      <c r="G24" s="194"/>
      <c r="H24" s="194"/>
      <c r="I24" s="194"/>
      <c r="J24" s="194"/>
      <c r="K24" s="195"/>
      <c r="L24" s="45"/>
      <c r="M24" s="45"/>
      <c r="N24" s="45"/>
      <c r="O24" s="45"/>
      <c r="P24" s="45"/>
      <c r="Q24" s="45"/>
      <c r="R24" s="45"/>
      <c r="S24" s="45"/>
      <c r="T24" s="45"/>
      <c r="U24" s="46"/>
      <c r="V24" s="50">
        <f>SUM(L24:U24)</f>
        <v>0</v>
      </c>
      <c r="W24" s="51"/>
      <c r="X24" s="51"/>
      <c r="Y24" s="51"/>
      <c r="Z24" s="74"/>
      <c r="AA24" s="191"/>
      <c r="AB24" s="45"/>
      <c r="AC24" s="45"/>
      <c r="AD24" s="45"/>
      <c r="AE24" s="45"/>
      <c r="AF24" s="45"/>
      <c r="AG24" s="45"/>
      <c r="AH24" s="45"/>
      <c r="AI24" s="45"/>
      <c r="AJ24" s="46"/>
      <c r="AK24" s="50">
        <f>SUM(AA24:AJ24)</f>
        <v>0</v>
      </c>
      <c r="AL24" s="51"/>
      <c r="AM24" s="51"/>
      <c r="AN24" s="51"/>
      <c r="AO24" s="51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F24" s="5"/>
    </row>
    <row r="25" customHeight="1" spans="1:58">
      <c r="A25" s="4"/>
      <c r="B25" s="4"/>
      <c r="C25" s="197" t="s">
        <v>54</v>
      </c>
      <c r="D25" s="198"/>
      <c r="E25" s="198"/>
      <c r="F25" s="198"/>
      <c r="G25" s="198"/>
      <c r="H25" s="198"/>
      <c r="I25" s="198"/>
      <c r="J25" s="198"/>
      <c r="K25" s="199"/>
      <c r="L25" s="200">
        <f>SUM(L21:P24)</f>
        <v>0</v>
      </c>
      <c r="M25" s="200"/>
      <c r="N25" s="200"/>
      <c r="O25" s="200"/>
      <c r="P25" s="200"/>
      <c r="Q25" s="200">
        <f>SUM(Q21:U24)</f>
        <v>0</v>
      </c>
      <c r="R25" s="200"/>
      <c r="S25" s="200"/>
      <c r="T25" s="200"/>
      <c r="U25" s="201"/>
      <c r="V25" s="202">
        <f>SUM(V21:Z24)</f>
        <v>0</v>
      </c>
      <c r="W25" s="200"/>
      <c r="X25" s="200"/>
      <c r="Y25" s="200"/>
      <c r="Z25" s="203"/>
      <c r="AA25" s="204">
        <f>SUM(AA21:AE24)</f>
        <v>0</v>
      </c>
      <c r="AB25" s="200"/>
      <c r="AC25" s="200"/>
      <c r="AD25" s="200"/>
      <c r="AE25" s="200"/>
      <c r="AF25" s="200">
        <f>SUM(AF21:AJ24)</f>
        <v>0</v>
      </c>
      <c r="AG25" s="200"/>
      <c r="AH25" s="200"/>
      <c r="AI25" s="200"/>
      <c r="AJ25" s="201"/>
      <c r="AK25" s="202">
        <f>SUM(AK21:AO24)</f>
        <v>0</v>
      </c>
      <c r="AL25" s="200"/>
      <c r="AM25" s="200"/>
      <c r="AN25" s="200"/>
      <c r="AO25" s="200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F25" s="5"/>
    </row>
    <row r="26" customHeight="1" spans="1:58">
      <c r="A26" s="4"/>
      <c r="B26" s="4"/>
      <c r="C26" s="205" t="s">
        <v>125</v>
      </c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7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F26" s="5"/>
    </row>
    <row r="27" customHeight="1" spans="1:58">
      <c r="A27" s="4"/>
      <c r="B27" s="4"/>
      <c r="C27" s="188" t="s">
        <v>129</v>
      </c>
      <c r="D27" s="189"/>
      <c r="E27" s="189"/>
      <c r="F27" s="189"/>
      <c r="G27" s="189"/>
      <c r="H27" s="189"/>
      <c r="I27" s="189"/>
      <c r="J27" s="189"/>
      <c r="K27" s="190"/>
      <c r="L27" s="45"/>
      <c r="M27" s="45"/>
      <c r="N27" s="45"/>
      <c r="O27" s="45"/>
      <c r="P27" s="45"/>
      <c r="Q27" s="45"/>
      <c r="R27" s="45"/>
      <c r="S27" s="45"/>
      <c r="T27" s="45"/>
      <c r="U27" s="46"/>
      <c r="V27" s="50">
        <f>SUM(L27:U27)</f>
        <v>0</v>
      </c>
      <c r="W27" s="51"/>
      <c r="X27" s="51"/>
      <c r="Y27" s="51"/>
      <c r="Z27" s="74"/>
      <c r="AA27" s="191"/>
      <c r="AB27" s="45"/>
      <c r="AC27" s="45"/>
      <c r="AD27" s="45"/>
      <c r="AE27" s="45"/>
      <c r="AF27" s="45"/>
      <c r="AG27" s="45"/>
      <c r="AH27" s="45"/>
      <c r="AI27" s="45"/>
      <c r="AJ27" s="46"/>
      <c r="AK27" s="50">
        <f>SUM(AA27:AJ27)</f>
        <v>0</v>
      </c>
      <c r="AL27" s="51"/>
      <c r="AM27" s="51"/>
      <c r="AN27" s="51"/>
      <c r="AO27" s="51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F27" s="5"/>
    </row>
    <row r="28" customHeight="1" spans="1:58">
      <c r="A28" s="4"/>
      <c r="B28" s="4"/>
      <c r="C28" s="193" t="s">
        <v>130</v>
      </c>
      <c r="D28" s="194"/>
      <c r="E28" s="194"/>
      <c r="F28" s="194"/>
      <c r="G28" s="194"/>
      <c r="H28" s="194"/>
      <c r="I28" s="194"/>
      <c r="J28" s="194"/>
      <c r="K28" s="195"/>
      <c r="L28" s="45"/>
      <c r="M28" s="45"/>
      <c r="N28" s="45"/>
      <c r="O28" s="45"/>
      <c r="P28" s="45"/>
      <c r="Q28" s="45"/>
      <c r="R28" s="45"/>
      <c r="S28" s="45"/>
      <c r="T28" s="45"/>
      <c r="U28" s="46"/>
      <c r="V28" s="50">
        <f>SUM(L28:U28)</f>
        <v>0</v>
      </c>
      <c r="W28" s="51"/>
      <c r="X28" s="51"/>
      <c r="Y28" s="51"/>
      <c r="Z28" s="74"/>
      <c r="AA28" s="191"/>
      <c r="AB28" s="45"/>
      <c r="AC28" s="45"/>
      <c r="AD28" s="45"/>
      <c r="AE28" s="45"/>
      <c r="AF28" s="45"/>
      <c r="AG28" s="45"/>
      <c r="AH28" s="45"/>
      <c r="AI28" s="45"/>
      <c r="AJ28" s="46"/>
      <c r="AK28" s="208">
        <f>SUM(AA28:AJ28)</f>
        <v>0</v>
      </c>
      <c r="AL28" s="209"/>
      <c r="AM28" s="209"/>
      <c r="AN28" s="209"/>
      <c r="AO28" s="209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F28" s="5"/>
    </row>
    <row r="29" customHeight="1" spans="1:58">
      <c r="A29" s="4"/>
      <c r="B29" s="4"/>
      <c r="C29" s="210" t="s">
        <v>54</v>
      </c>
      <c r="D29" s="211"/>
      <c r="E29" s="211"/>
      <c r="F29" s="211"/>
      <c r="G29" s="211"/>
      <c r="H29" s="211"/>
      <c r="I29" s="211"/>
      <c r="J29" s="211"/>
      <c r="K29" s="212"/>
      <c r="L29" s="213">
        <f>SUM(L27:P28)</f>
        <v>0</v>
      </c>
      <c r="M29" s="213"/>
      <c r="N29" s="213"/>
      <c r="O29" s="213"/>
      <c r="P29" s="213"/>
      <c r="Q29" s="213">
        <f>SUM(Q27:U28)</f>
        <v>0</v>
      </c>
      <c r="R29" s="213"/>
      <c r="S29" s="213"/>
      <c r="T29" s="213"/>
      <c r="U29" s="214"/>
      <c r="V29" s="215">
        <f>SUM(V27:Z28)</f>
        <v>0</v>
      </c>
      <c r="W29" s="213"/>
      <c r="X29" s="213"/>
      <c r="Y29" s="213"/>
      <c r="Z29" s="216"/>
      <c r="AA29" s="217">
        <f>SUM(AA27:AE28)</f>
        <v>0</v>
      </c>
      <c r="AB29" s="213"/>
      <c r="AC29" s="213"/>
      <c r="AD29" s="213"/>
      <c r="AE29" s="213"/>
      <c r="AF29" s="213">
        <f>SUM(AF27:AJ28)</f>
        <v>0</v>
      </c>
      <c r="AG29" s="213"/>
      <c r="AH29" s="213"/>
      <c r="AI29" s="213"/>
      <c r="AJ29" s="214"/>
      <c r="AK29" s="215">
        <f>SUM(AK27:AO28)</f>
        <v>0</v>
      </c>
      <c r="AL29" s="213"/>
      <c r="AM29" s="213"/>
      <c r="AN29" s="213"/>
      <c r="AO29" s="213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F29" s="5"/>
    </row>
    <row r="30" customHeight="1" spans="1:58">
      <c r="A30" s="4"/>
      <c r="B30" s="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F30" s="5"/>
    </row>
    <row r="31" s="180" customFormat="1" customHeight="1" spans="1:58">
      <c r="A31" s="81" t="s">
        <v>144</v>
      </c>
      <c r="B31" s="81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18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F31" s="219"/>
    </row>
    <row r="32" s="180" customFormat="1" ht="4" customHeight="1" spans="1:58">
      <c r="A32" s="81"/>
      <c r="B32" s="81"/>
      <c r="C32" s="218"/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18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F32" s="219"/>
    </row>
    <row r="33" s="180" customFormat="1" customHeight="1" spans="1:58">
      <c r="A33" s="81"/>
      <c r="B33" s="81"/>
      <c r="C33" s="87" t="s">
        <v>145</v>
      </c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42" t="s">
        <v>98</v>
      </c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39"/>
      <c r="AP33" s="66" t="s">
        <v>125</v>
      </c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F33" s="219"/>
    </row>
    <row r="34" s="180" customFormat="1" customHeight="1" spans="1:58">
      <c r="A34" s="81"/>
      <c r="B34" s="81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42" t="s">
        <v>101</v>
      </c>
      <c r="R34" s="42"/>
      <c r="S34" s="42"/>
      <c r="T34" s="42"/>
      <c r="U34" s="42"/>
      <c r="V34" s="42" t="s">
        <v>126</v>
      </c>
      <c r="W34" s="42"/>
      <c r="X34" s="42"/>
      <c r="Y34" s="42"/>
      <c r="Z34" s="42"/>
      <c r="AA34" s="42" t="s">
        <v>127</v>
      </c>
      <c r="AB34" s="42"/>
      <c r="AC34" s="42"/>
      <c r="AD34" s="42"/>
      <c r="AE34" s="42"/>
      <c r="AF34" s="42" t="s">
        <v>128</v>
      </c>
      <c r="AG34" s="42"/>
      <c r="AH34" s="42"/>
      <c r="AI34" s="42"/>
      <c r="AJ34" s="39"/>
      <c r="AK34" s="44" t="s">
        <v>54</v>
      </c>
      <c r="AL34" s="42"/>
      <c r="AM34" s="42"/>
      <c r="AN34" s="42"/>
      <c r="AO34" s="65"/>
      <c r="AP34" s="66" t="s">
        <v>129</v>
      </c>
      <c r="AQ34" s="42"/>
      <c r="AR34" s="42"/>
      <c r="AS34" s="42"/>
      <c r="AT34" s="42"/>
      <c r="AU34" s="42" t="s">
        <v>130</v>
      </c>
      <c r="AV34" s="42"/>
      <c r="AW34" s="42"/>
      <c r="AX34" s="42"/>
      <c r="AY34" s="39"/>
      <c r="AZ34" s="44" t="s">
        <v>54</v>
      </c>
      <c r="BA34" s="42"/>
      <c r="BB34" s="42"/>
      <c r="BC34" s="42"/>
      <c r="BD34" s="42"/>
      <c r="BF34" s="219"/>
    </row>
    <row r="35" s="180" customFormat="1" customHeight="1" spans="1:58">
      <c r="A35" s="81"/>
      <c r="B35" s="81"/>
      <c r="C35" s="220" t="s">
        <v>146</v>
      </c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1"/>
      <c r="R35" s="222"/>
      <c r="S35" s="222"/>
      <c r="T35" s="222"/>
      <c r="U35" s="223"/>
      <c r="V35" s="221"/>
      <c r="W35" s="222"/>
      <c r="X35" s="222"/>
      <c r="Y35" s="222"/>
      <c r="Z35" s="223"/>
      <c r="AA35" s="221"/>
      <c r="AB35" s="222"/>
      <c r="AC35" s="222"/>
      <c r="AD35" s="222"/>
      <c r="AE35" s="223"/>
      <c r="AF35" s="221"/>
      <c r="AG35" s="222"/>
      <c r="AH35" s="222"/>
      <c r="AI35" s="222"/>
      <c r="AJ35" s="222"/>
      <c r="AK35" s="224">
        <f>SUM(Q35:AJ36)</f>
        <v>0</v>
      </c>
      <c r="AL35" s="225"/>
      <c r="AM35" s="225"/>
      <c r="AN35" s="225"/>
      <c r="AO35" s="226"/>
      <c r="AP35" s="227"/>
      <c r="AQ35" s="222"/>
      <c r="AR35" s="222"/>
      <c r="AS35" s="222"/>
      <c r="AT35" s="223"/>
      <c r="AU35" s="221"/>
      <c r="AV35" s="222"/>
      <c r="AW35" s="222"/>
      <c r="AX35" s="222"/>
      <c r="AY35" s="222"/>
      <c r="AZ35" s="224">
        <f>SUM(AP35:AY36)</f>
        <v>0</v>
      </c>
      <c r="BA35" s="225"/>
      <c r="BB35" s="225"/>
      <c r="BC35" s="225"/>
      <c r="BD35" s="228"/>
      <c r="BF35" s="219"/>
    </row>
    <row r="36" s="180" customFormat="1" customHeight="1" spans="1:58">
      <c r="A36" s="81"/>
      <c r="B36" s="81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9"/>
      <c r="R36" s="230"/>
      <c r="S36" s="230"/>
      <c r="T36" s="230"/>
      <c r="U36" s="231"/>
      <c r="V36" s="229"/>
      <c r="W36" s="230"/>
      <c r="X36" s="230"/>
      <c r="Y36" s="230"/>
      <c r="Z36" s="231"/>
      <c r="AA36" s="229"/>
      <c r="AB36" s="230"/>
      <c r="AC36" s="230"/>
      <c r="AD36" s="230"/>
      <c r="AE36" s="231"/>
      <c r="AF36" s="229"/>
      <c r="AG36" s="230"/>
      <c r="AH36" s="230"/>
      <c r="AI36" s="230"/>
      <c r="AJ36" s="230"/>
      <c r="AK36" s="232"/>
      <c r="AL36" s="233"/>
      <c r="AM36" s="233"/>
      <c r="AN36" s="233"/>
      <c r="AO36" s="234"/>
      <c r="AP36" s="235"/>
      <c r="AQ36" s="230"/>
      <c r="AR36" s="230"/>
      <c r="AS36" s="230"/>
      <c r="AT36" s="231"/>
      <c r="AU36" s="229"/>
      <c r="AV36" s="230"/>
      <c r="AW36" s="230"/>
      <c r="AX36" s="230"/>
      <c r="AY36" s="230"/>
      <c r="AZ36" s="232"/>
      <c r="BA36" s="233"/>
      <c r="BB36" s="233"/>
      <c r="BC36" s="233"/>
      <c r="BD36" s="236"/>
      <c r="BF36" s="219"/>
    </row>
    <row r="37" s="180" customFormat="1" customHeight="1" spans="1:58">
      <c r="A37" s="81"/>
      <c r="B37" s="81"/>
      <c r="C37" s="220" t="s">
        <v>147</v>
      </c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1"/>
      <c r="R37" s="222"/>
      <c r="S37" s="222"/>
      <c r="T37" s="222"/>
      <c r="U37" s="223"/>
      <c r="V37" s="221"/>
      <c r="W37" s="222"/>
      <c r="X37" s="222"/>
      <c r="Y37" s="222"/>
      <c r="Z37" s="223"/>
      <c r="AA37" s="221"/>
      <c r="AB37" s="222"/>
      <c r="AC37" s="222"/>
      <c r="AD37" s="222"/>
      <c r="AE37" s="223"/>
      <c r="AF37" s="221"/>
      <c r="AG37" s="222"/>
      <c r="AH37" s="222"/>
      <c r="AI37" s="222"/>
      <c r="AJ37" s="222"/>
      <c r="AK37" s="224">
        <f>SUM(Q37:AJ38)</f>
        <v>0</v>
      </c>
      <c r="AL37" s="225"/>
      <c r="AM37" s="225"/>
      <c r="AN37" s="225"/>
      <c r="AO37" s="226"/>
      <c r="AP37" s="227"/>
      <c r="AQ37" s="222"/>
      <c r="AR37" s="222"/>
      <c r="AS37" s="222"/>
      <c r="AT37" s="223"/>
      <c r="AU37" s="221"/>
      <c r="AV37" s="222"/>
      <c r="AW37" s="222"/>
      <c r="AX37" s="222"/>
      <c r="AY37" s="222"/>
      <c r="AZ37" s="224">
        <f>SUM(AP37:AY38)</f>
        <v>0</v>
      </c>
      <c r="BA37" s="225"/>
      <c r="BB37" s="225"/>
      <c r="BC37" s="225"/>
      <c r="BD37" s="228"/>
      <c r="BF37" s="219"/>
    </row>
    <row r="38" s="180" customFormat="1" customHeight="1" spans="1:58">
      <c r="A38" s="81"/>
      <c r="B38" s="81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9"/>
      <c r="R38" s="230"/>
      <c r="S38" s="230"/>
      <c r="T38" s="230"/>
      <c r="U38" s="231"/>
      <c r="V38" s="229"/>
      <c r="W38" s="230"/>
      <c r="X38" s="230"/>
      <c r="Y38" s="230"/>
      <c r="Z38" s="231"/>
      <c r="AA38" s="229"/>
      <c r="AB38" s="230"/>
      <c r="AC38" s="230"/>
      <c r="AD38" s="230"/>
      <c r="AE38" s="231"/>
      <c r="AF38" s="229"/>
      <c r="AG38" s="230"/>
      <c r="AH38" s="230"/>
      <c r="AI38" s="230"/>
      <c r="AJ38" s="230"/>
      <c r="AK38" s="232"/>
      <c r="AL38" s="233"/>
      <c r="AM38" s="233"/>
      <c r="AN38" s="233"/>
      <c r="AO38" s="234"/>
      <c r="AP38" s="235"/>
      <c r="AQ38" s="230"/>
      <c r="AR38" s="230"/>
      <c r="AS38" s="230"/>
      <c r="AT38" s="231"/>
      <c r="AU38" s="229"/>
      <c r="AV38" s="230"/>
      <c r="AW38" s="230"/>
      <c r="AX38" s="230"/>
      <c r="AY38" s="230"/>
      <c r="AZ38" s="232"/>
      <c r="BA38" s="233"/>
      <c r="BB38" s="233"/>
      <c r="BC38" s="233"/>
      <c r="BD38" s="236"/>
      <c r="BF38" s="219"/>
    </row>
    <row r="39" ht="4" customHeight="1" spans="1:58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</row>
    <row r="40" customHeight="1" spans="1:58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62" customHeight="1" spans="2:2">
      <c r="B62" s="17"/>
    </row>
    <row r="63" customHeight="1" spans="2:2">
      <c r="B63" s="17"/>
    </row>
    <row r="64" customHeight="1" spans="2:2">
      <c r="B64" s="17"/>
    </row>
    <row r="66" customHeight="1" spans="1:1">
      <c r="A66" s="237"/>
    </row>
  </sheetData>
  <sheetProtection algorithmName="SHA-512" hashValue="P/ieNiAq0+hprGnNC99KcDQIwliKcsFMim2VpPWfJiSOYjfP+fAma9XB3Egb81rOnQKle503OnSwL6JTFaoP5w==" saltValue="cZciDB4STCeJgfv7hM5r+A==" spinCount="100000" sheet="1" objects="1" scenarios="1"/>
  <protectedRanges>
    <protectedRange sqref="L11:U18 AA11:AJ18 L21:U24 AA21:AJ24 L27:U28 AA27:AJ28 Q35:AJ38 AP35:AY38" name="IX. Table 1.C to 1.D"/>
  </protectedRanges>
  <mergeCells count="161">
    <mergeCell ref="L7:AO7"/>
    <mergeCell ref="L8:Z8"/>
    <mergeCell ref="AA8:AO8"/>
    <mergeCell ref="L9:P9"/>
    <mergeCell ref="Q9:U9"/>
    <mergeCell ref="V9:Z9"/>
    <mergeCell ref="AA9:AE9"/>
    <mergeCell ref="AF9:AJ9"/>
    <mergeCell ref="AK9:AO9"/>
    <mergeCell ref="C10:AO10"/>
    <mergeCell ref="C11:K11"/>
    <mergeCell ref="L11:P11"/>
    <mergeCell ref="Q11:U11"/>
    <mergeCell ref="V11:Z11"/>
    <mergeCell ref="AA11:AE11"/>
    <mergeCell ref="AF11:AJ11"/>
    <mergeCell ref="AK11:AO11"/>
    <mergeCell ref="C12:K12"/>
    <mergeCell ref="L12:P12"/>
    <mergeCell ref="Q12:U12"/>
    <mergeCell ref="V12:Z12"/>
    <mergeCell ref="AA12:AE12"/>
    <mergeCell ref="AF12:AJ12"/>
    <mergeCell ref="AK12:AO12"/>
    <mergeCell ref="C13:K13"/>
    <mergeCell ref="L13:P13"/>
    <mergeCell ref="Q13:U13"/>
    <mergeCell ref="V13:Z13"/>
    <mergeCell ref="AA13:AE13"/>
    <mergeCell ref="AF13:AJ13"/>
    <mergeCell ref="AK13:AO13"/>
    <mergeCell ref="C14:K14"/>
    <mergeCell ref="L14:P14"/>
    <mergeCell ref="Q14:U14"/>
    <mergeCell ref="V14:Z14"/>
    <mergeCell ref="AA14:AE14"/>
    <mergeCell ref="AF14:AJ14"/>
    <mergeCell ref="AK14:AO14"/>
    <mergeCell ref="C15:K15"/>
    <mergeCell ref="L15:P15"/>
    <mergeCell ref="Q15:U15"/>
    <mergeCell ref="V15:Z15"/>
    <mergeCell ref="AA15:AE15"/>
    <mergeCell ref="AF15:AJ15"/>
    <mergeCell ref="AK15:AO15"/>
    <mergeCell ref="C16:K16"/>
    <mergeCell ref="L16:P16"/>
    <mergeCell ref="Q16:U16"/>
    <mergeCell ref="V16:Z16"/>
    <mergeCell ref="AA16:AE16"/>
    <mergeCell ref="AF16:AJ16"/>
    <mergeCell ref="AK16:AO16"/>
    <mergeCell ref="C17:K17"/>
    <mergeCell ref="L17:P17"/>
    <mergeCell ref="Q17:U17"/>
    <mergeCell ref="V17:Z17"/>
    <mergeCell ref="AA17:AE17"/>
    <mergeCell ref="AF17:AJ17"/>
    <mergeCell ref="AK17:AO17"/>
    <mergeCell ref="C18:K18"/>
    <mergeCell ref="L18:P18"/>
    <mergeCell ref="Q18:U18"/>
    <mergeCell ref="V18:Z18"/>
    <mergeCell ref="AA18:AE18"/>
    <mergeCell ref="AF18:AJ18"/>
    <mergeCell ref="AK18:AO18"/>
    <mergeCell ref="C19:K19"/>
    <mergeCell ref="L19:P19"/>
    <mergeCell ref="Q19:U19"/>
    <mergeCell ref="V19:Z19"/>
    <mergeCell ref="AA19:AE19"/>
    <mergeCell ref="AF19:AJ19"/>
    <mergeCell ref="AK19:AO19"/>
    <mergeCell ref="C20:AO20"/>
    <mergeCell ref="C21:K21"/>
    <mergeCell ref="L21:P21"/>
    <mergeCell ref="Q21:U21"/>
    <mergeCell ref="V21:Z21"/>
    <mergeCell ref="AA21:AE21"/>
    <mergeCell ref="AF21:AJ21"/>
    <mergeCell ref="AK21:AO21"/>
    <mergeCell ref="C22:K22"/>
    <mergeCell ref="L22:P22"/>
    <mergeCell ref="Q22:U22"/>
    <mergeCell ref="V22:Z22"/>
    <mergeCell ref="AA22:AE22"/>
    <mergeCell ref="AF22:AJ22"/>
    <mergeCell ref="AK22:AO22"/>
    <mergeCell ref="C23:K23"/>
    <mergeCell ref="L23:P23"/>
    <mergeCell ref="Q23:U23"/>
    <mergeCell ref="V23:Z23"/>
    <mergeCell ref="AA23:AE23"/>
    <mergeCell ref="AF23:AJ23"/>
    <mergeCell ref="AK23:AO23"/>
    <mergeCell ref="C24:K24"/>
    <mergeCell ref="L24:P24"/>
    <mergeCell ref="Q24:U24"/>
    <mergeCell ref="V24:Z24"/>
    <mergeCell ref="AA24:AE24"/>
    <mergeCell ref="AF24:AJ24"/>
    <mergeCell ref="AK24:AO24"/>
    <mergeCell ref="C25:K25"/>
    <mergeCell ref="L25:P25"/>
    <mergeCell ref="Q25:U25"/>
    <mergeCell ref="V25:Z25"/>
    <mergeCell ref="AA25:AE25"/>
    <mergeCell ref="AF25:AJ25"/>
    <mergeCell ref="AK25:AO25"/>
    <mergeCell ref="C26:AO26"/>
    <mergeCell ref="C27:K27"/>
    <mergeCell ref="L27:P27"/>
    <mergeCell ref="Q27:U27"/>
    <mergeCell ref="V27:Z27"/>
    <mergeCell ref="AA27:AE27"/>
    <mergeCell ref="AF27:AJ27"/>
    <mergeCell ref="AK27:AO27"/>
    <mergeCell ref="C28:K28"/>
    <mergeCell ref="L28:P28"/>
    <mergeCell ref="Q28:U28"/>
    <mergeCell ref="V28:Z28"/>
    <mergeCell ref="AA28:AE28"/>
    <mergeCell ref="AF28:AJ28"/>
    <mergeCell ref="AK28:AO28"/>
    <mergeCell ref="C29:K29"/>
    <mergeCell ref="L29:P29"/>
    <mergeCell ref="Q29:U29"/>
    <mergeCell ref="V29:Z29"/>
    <mergeCell ref="AA29:AE29"/>
    <mergeCell ref="AF29:AJ29"/>
    <mergeCell ref="AK29:AO29"/>
    <mergeCell ref="Q33:AO33"/>
    <mergeCell ref="AP33:BD33"/>
    <mergeCell ref="Q34:U34"/>
    <mergeCell ref="V34:Z34"/>
    <mergeCell ref="AA34:AE34"/>
    <mergeCell ref="AF34:AJ34"/>
    <mergeCell ref="AK34:AO34"/>
    <mergeCell ref="AP34:AT34"/>
    <mergeCell ref="AU34:AY34"/>
    <mergeCell ref="AZ34:BD34"/>
    <mergeCell ref="C7:K9"/>
    <mergeCell ref="C33:P34"/>
    <mergeCell ref="C35:P36"/>
    <mergeCell ref="Q35:U36"/>
    <mergeCell ref="V35:Z36"/>
    <mergeCell ref="AA35:AE36"/>
    <mergeCell ref="AF35:AJ36"/>
    <mergeCell ref="AK35:AO36"/>
    <mergeCell ref="AP35:AT36"/>
    <mergeCell ref="AU35:AY36"/>
    <mergeCell ref="AZ35:BD36"/>
    <mergeCell ref="C37:P38"/>
    <mergeCell ref="Q37:U38"/>
    <mergeCell ref="V37:Z38"/>
    <mergeCell ref="AA37:AE38"/>
    <mergeCell ref="AF37:AJ38"/>
    <mergeCell ref="AK37:AO38"/>
    <mergeCell ref="AP37:AT38"/>
    <mergeCell ref="AU37:AY38"/>
    <mergeCell ref="AZ37:BD38"/>
  </mergeCells>
  <dataValidations count="1">
    <dataValidation type="whole" operator="between" allowBlank="1" showInputMessage="1" showErrorMessage="1" errorTitle="GSP SY 2025-2026" error="Please enter a valid number from 0 to 20,000." sqref="L11:U18 L21:U24 L27:U28 Q35:AJ38 AA11:AJ18 AA21:AJ24 AA27:AJ28 AP35:AY38">
      <formula1>0</formula1>
      <formula2>20000</formula2>
    </dataValidation>
  </dataValidations>
  <printOptions horizontalCentered="1"/>
  <pageMargins left="0.15748031496063" right="0.15748031496063" top="0.15748031496063" bottom="0.31496062992126" header="0.31496062992126" footer="0.15748031496063"/>
  <pageSetup paperSize="9" scale="123" orientation="landscape"/>
  <headerFooter>
    <oddFooter>&amp;LGSP, SY 2025-2026&amp;RPage 50 of 85</oddFooter>
  </headerFooter>
  <rowBreaks count="2" manualBreakCount="2">
    <brk id="66" max="49" man="1"/>
    <brk id="67" max="49" man="1"/>
  </rowBreaks>
  <colBreaks count="1" manualBreakCount="1">
    <brk id="57" max="37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F09A"/>
  </sheetPr>
  <dimension ref="A1:CN69"/>
  <sheetViews>
    <sheetView view="pageBreakPreview" zoomScaleNormal="100" workbookViewId="0">
      <selection activeCell="N12" sqref="N12"/>
    </sheetView>
  </sheetViews>
  <sheetFormatPr defaultColWidth="2.18181818181818" defaultRowHeight="12" customHeight="1"/>
  <cols>
    <col min="1" max="2" width="0.272727272727273" style="2" customWidth="1"/>
    <col min="3" max="43" width="2.27272727272727" style="2" customWidth="1"/>
    <col min="44" max="44" width="0.818181818181818" style="2" customWidth="1"/>
    <col min="45" max="46" width="2.18181818181818" style="2" customWidth="1"/>
    <col min="47" max="49" width="2.27272727272727" style="2" customWidth="1"/>
    <col min="50" max="50" width="0.272727272727273" style="2" customWidth="1"/>
    <col min="51" max="65" width="2.27272727272727" style="2" customWidth="1"/>
    <col min="66" max="66" width="0.272727272727273" style="2" customWidth="1"/>
    <col min="67" max="68" width="2.18181818181818" style="2"/>
    <col min="69" max="69" width="0.272727272727273" style="2" customWidth="1"/>
    <col min="70" max="16384" width="2.18181818181818" style="2"/>
  </cols>
  <sheetData>
    <row r="1" customHeight="1" spans="1:47">
      <c r="A1" s="3" t="s">
        <v>148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customHeight="1" spans="1:47">
      <c r="A2" s="3" t="s">
        <v>28</v>
      </c>
      <c r="B2" s="4"/>
      <c r="C2" s="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customHeight="1" spans="1:47">
      <c r="A3" s="6" t="s">
        <v>29</v>
      </c>
      <c r="B3" s="4"/>
      <c r="C3" s="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ht="4" customHeight="1" spans="1:47">
      <c r="A4" s="4"/>
      <c r="B4" s="4"/>
      <c r="C4" s="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ht="4" customHeight="1" spans="1:47">
      <c r="A5" s="4"/>
      <c r="B5" s="8"/>
      <c r="C5" s="9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customHeight="1" spans="1:47">
      <c r="A6" s="4"/>
      <c r="B6" s="11"/>
      <c r="C6" s="4" t="s">
        <v>149</v>
      </c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4"/>
      <c r="Q6" s="4"/>
      <c r="R6" s="4"/>
      <c r="S6" s="13"/>
      <c r="T6" s="14"/>
      <c r="U6" s="4"/>
      <c r="V6" s="4"/>
      <c r="W6" s="4"/>
      <c r="X6" s="4"/>
      <c r="Y6" s="13"/>
      <c r="Z6" s="13"/>
      <c r="AA6" s="37" t="b">
        <v>0</v>
      </c>
      <c r="AB6" s="19" t="s">
        <v>150</v>
      </c>
      <c r="AC6" s="14"/>
      <c r="AD6" s="4"/>
      <c r="AE6" s="21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ht="4" customHeight="1" spans="1:47">
      <c r="A7" s="4"/>
      <c r="B7" s="11"/>
      <c r="C7" s="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53"/>
      <c r="AB7" s="4"/>
      <c r="AC7" s="4"/>
      <c r="AD7" s="4"/>
      <c r="AE7" s="21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customHeight="1" spans="1:47">
      <c r="A8" s="4"/>
      <c r="B8" s="11"/>
      <c r="C8" s="4" t="s">
        <v>151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37" t="b">
        <v>0</v>
      </c>
      <c r="AB8" s="19" t="s">
        <v>150</v>
      </c>
      <c r="AC8" s="4"/>
      <c r="AD8" s="4"/>
      <c r="AE8" s="21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ht="4" customHeight="1" spans="1:47">
      <c r="A9" s="4"/>
      <c r="B9" s="11"/>
      <c r="C9" s="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53"/>
      <c r="AB9" s="4"/>
      <c r="AC9" s="4"/>
      <c r="AD9" s="4"/>
      <c r="AE9" s="21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customHeight="1" spans="1:47">
      <c r="A10" s="4"/>
      <c r="B10" s="11"/>
      <c r="C10" s="4"/>
      <c r="D10" s="4" t="s">
        <v>152</v>
      </c>
      <c r="E10" s="154"/>
      <c r="F10" s="154"/>
      <c r="G10" s="154"/>
      <c r="H10" s="154"/>
      <c r="I10" s="154"/>
      <c r="J10" s="154"/>
      <c r="K10" s="154"/>
      <c r="L10" s="154"/>
      <c r="M10" s="154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15" t="str">
        <f>IF(AND(clinic_sdo_personnel_yes=TRUE,clinic_sdo_personnel_ifyes=""),"Please specify.",IF(AND(clinic_sdo_personnel_yes=FALSE,clinic_sdo_personnel_ifyes&lt;&gt;""),"Please check the 'Yes' box if you have an entry.",""))</f>
        <v/>
      </c>
      <c r="AA10" s="4"/>
      <c r="AB10" s="4"/>
      <c r="AC10" s="4"/>
      <c r="AD10" s="4"/>
      <c r="AE10" s="21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ht="4" customHeight="1" spans="1:47">
      <c r="A11" s="4"/>
      <c r="B11" s="11"/>
      <c r="C11" s="4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21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customHeight="1" spans="1:47">
      <c r="A12" s="4"/>
      <c r="B12" s="11"/>
      <c r="C12" s="4" t="s">
        <v>153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15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7"/>
    </row>
    <row r="13" ht="4" customHeight="1" spans="1:47">
      <c r="A13" s="4"/>
      <c r="B13" s="11"/>
      <c r="C13" s="4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15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7"/>
    </row>
    <row r="14" customHeight="1" spans="1:47">
      <c r="A14" s="4"/>
      <c r="B14" s="1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56" t="s">
        <v>154</v>
      </c>
      <c r="V14" s="156"/>
      <c r="W14" s="156"/>
      <c r="X14" s="156"/>
      <c r="Y14" s="156"/>
      <c r="Z14" s="156" t="s">
        <v>155</v>
      </c>
      <c r="AA14" s="156"/>
      <c r="AB14" s="156"/>
      <c r="AC14" s="156"/>
      <c r="AD14" s="156"/>
      <c r="AE14" s="21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customHeight="1" spans="1:47">
      <c r="A15" s="4"/>
      <c r="B15" s="11"/>
      <c r="C15" s="4"/>
      <c r="D15" s="157" t="s">
        <v>156</v>
      </c>
      <c r="E15" s="4" t="s">
        <v>157</v>
      </c>
      <c r="F15" s="154"/>
      <c r="G15" s="4"/>
      <c r="H15" s="154"/>
      <c r="I15" s="154"/>
      <c r="J15" s="154"/>
      <c r="K15" s="154"/>
      <c r="L15" s="154"/>
      <c r="M15" s="154"/>
      <c r="N15" s="154"/>
      <c r="O15" s="154"/>
      <c r="P15" s="4"/>
      <c r="Q15" s="4"/>
      <c r="R15" s="4"/>
      <c r="S15" s="4"/>
      <c r="T15" s="4"/>
      <c r="U15" s="158" t="b">
        <v>0</v>
      </c>
      <c r="V15" s="158"/>
      <c r="W15" s="158"/>
      <c r="X15" s="158"/>
      <c r="Y15" s="158"/>
      <c r="Z15" s="158" t="b">
        <v>0</v>
      </c>
      <c r="AA15" s="158"/>
      <c r="AB15" s="158"/>
      <c r="AC15" s="158"/>
      <c r="AD15" s="158"/>
      <c r="AE15" s="21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customHeight="1" spans="1:47">
      <c r="A16" s="4"/>
      <c r="B16" s="11"/>
      <c r="C16" s="4"/>
      <c r="D16" s="159" t="s">
        <v>158</v>
      </c>
      <c r="E16" s="4" t="s">
        <v>159</v>
      </c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4"/>
      <c r="Q16" s="4"/>
      <c r="R16" s="4"/>
      <c r="S16" s="4"/>
      <c r="T16" s="4"/>
      <c r="U16" s="158" t="b">
        <v>0</v>
      </c>
      <c r="V16" s="158"/>
      <c r="W16" s="158"/>
      <c r="X16" s="158"/>
      <c r="Y16" s="158"/>
      <c r="Z16" s="158" t="b">
        <v>0</v>
      </c>
      <c r="AA16" s="158"/>
      <c r="AB16" s="158"/>
      <c r="AC16" s="158"/>
      <c r="AD16" s="158"/>
      <c r="AE16" s="21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</row>
    <row r="17" customHeight="1" spans="1:64">
      <c r="A17" s="4"/>
      <c r="B17" s="11"/>
      <c r="C17" s="4"/>
      <c r="D17" s="159" t="s">
        <v>160</v>
      </c>
      <c r="E17" s="4" t="s">
        <v>161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158" t="b">
        <v>0</v>
      </c>
      <c r="V17" s="158"/>
      <c r="W17" s="158"/>
      <c r="X17" s="158"/>
      <c r="Y17" s="158"/>
      <c r="Z17" s="158" t="b">
        <v>0</v>
      </c>
      <c r="AA17" s="158"/>
      <c r="AB17" s="158"/>
      <c r="AC17" s="158"/>
      <c r="AD17" s="158"/>
      <c r="AE17" s="21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customHeight="1" spans="1:64">
      <c r="A18" s="4"/>
      <c r="B18" s="11"/>
      <c r="C18" s="4"/>
      <c r="D18" s="157" t="s">
        <v>162</v>
      </c>
      <c r="E18" s="4" t="s">
        <v>163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58" t="b">
        <v>0</v>
      </c>
      <c r="V18" s="158"/>
      <c r="W18" s="158"/>
      <c r="X18" s="158"/>
      <c r="Y18" s="158"/>
      <c r="Z18" s="158" t="b">
        <v>0</v>
      </c>
      <c r="AA18" s="158"/>
      <c r="AB18" s="158"/>
      <c r="AC18" s="158"/>
      <c r="AD18" s="158"/>
      <c r="AE18" s="21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customHeight="1" spans="1:64">
      <c r="A19" s="4"/>
      <c r="B19" s="11"/>
      <c r="C19" s="4"/>
      <c r="D19" s="157" t="s">
        <v>164</v>
      </c>
      <c r="E19" s="4" t="s">
        <v>165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158" t="b">
        <v>0</v>
      </c>
      <c r="V19" s="158"/>
      <c r="W19" s="158"/>
      <c r="X19" s="158"/>
      <c r="Y19" s="158"/>
      <c r="Z19" s="158" t="b">
        <v>0</v>
      </c>
      <c r="AA19" s="158"/>
      <c r="AB19" s="158"/>
      <c r="AC19" s="158"/>
      <c r="AD19" s="158"/>
      <c r="AE19" s="21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customHeight="1" spans="1:64">
      <c r="A20" s="4"/>
      <c r="B20" s="11"/>
      <c r="C20" s="4"/>
      <c r="D20" s="157" t="s">
        <v>166</v>
      </c>
      <c r="E20" s="4" t="s">
        <v>167</v>
      </c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4"/>
      <c r="Q20" s="4"/>
      <c r="R20" s="4"/>
      <c r="S20" s="4"/>
      <c r="T20" s="4"/>
      <c r="U20" s="158" t="b">
        <v>0</v>
      </c>
      <c r="V20" s="158"/>
      <c r="W20" s="158"/>
      <c r="X20" s="158"/>
      <c r="Y20" s="158"/>
      <c r="Z20" s="158" t="b">
        <v>0</v>
      </c>
      <c r="AA20" s="158"/>
      <c r="AB20" s="158"/>
      <c r="AC20" s="158"/>
      <c r="AD20" s="158"/>
      <c r="AE20" s="21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customHeight="1" spans="1:64">
      <c r="A21" s="4"/>
      <c r="B21" s="11"/>
      <c r="C21" s="4"/>
      <c r="D21" s="159" t="s">
        <v>168</v>
      </c>
      <c r="E21" s="4" t="s">
        <v>169</v>
      </c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4"/>
      <c r="Q21" s="4"/>
      <c r="R21" s="4"/>
      <c r="S21" s="4"/>
      <c r="T21" s="4"/>
      <c r="U21" s="158" t="b">
        <v>0</v>
      </c>
      <c r="V21" s="158"/>
      <c r="W21" s="158"/>
      <c r="X21" s="158"/>
      <c r="Y21" s="158"/>
      <c r="Z21" s="158" t="b">
        <v>0</v>
      </c>
      <c r="AA21" s="158"/>
      <c r="AB21" s="158"/>
      <c r="AC21" s="158"/>
      <c r="AD21" s="158"/>
      <c r="AE21" s="21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customHeight="1" spans="1:64">
      <c r="A22" s="4"/>
      <c r="B22" s="11"/>
      <c r="C22" s="4"/>
      <c r="D22" s="159" t="s">
        <v>170</v>
      </c>
      <c r="E22" s="4" t="s">
        <v>171</v>
      </c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4"/>
      <c r="Q22" s="4"/>
      <c r="R22" s="4"/>
      <c r="S22" s="4"/>
      <c r="T22" s="4"/>
      <c r="U22" s="158" t="b">
        <v>0</v>
      </c>
      <c r="V22" s="158"/>
      <c r="W22" s="158"/>
      <c r="X22" s="158"/>
      <c r="Y22" s="158"/>
      <c r="Z22" s="158" t="b">
        <v>0</v>
      </c>
      <c r="AA22" s="158"/>
      <c r="AB22" s="158"/>
      <c r="AC22" s="158"/>
      <c r="AD22" s="158"/>
      <c r="AE22" s="21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customHeight="1" spans="1:64">
      <c r="A23" s="4"/>
      <c r="B23" s="11"/>
      <c r="C23" s="4"/>
      <c r="D23" s="159" t="s">
        <v>172</v>
      </c>
      <c r="E23" s="4" t="s">
        <v>173</v>
      </c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4"/>
      <c r="Q23" s="4"/>
      <c r="R23" s="4"/>
      <c r="S23" s="4"/>
      <c r="T23" s="4"/>
      <c r="U23" s="158" t="b">
        <v>0</v>
      </c>
      <c r="V23" s="158"/>
      <c r="W23" s="158"/>
      <c r="X23" s="158"/>
      <c r="Y23" s="158"/>
      <c r="Z23" s="158" t="b">
        <v>0</v>
      </c>
      <c r="AA23" s="158"/>
      <c r="AB23" s="158"/>
      <c r="AC23" s="158"/>
      <c r="AD23" s="158"/>
      <c r="AE23" s="21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ht="4" customHeight="1" spans="1:64">
      <c r="A24" s="4"/>
      <c r="B24" s="160"/>
      <c r="C24" s="30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1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ht="4" customHeight="1" spans="1:64">
      <c r="A25" s="4"/>
      <c r="B25" s="7"/>
      <c r="C25" s="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customHeight="1" spans="1:64">
      <c r="A26" s="4"/>
      <c r="B26" s="7"/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customHeight="1" spans="1:64">
      <c r="A27" s="3" t="s">
        <v>174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customHeight="1" spans="1:64">
      <c r="A28" s="3" t="s">
        <v>28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customHeight="1" spans="1:64">
      <c r="A29" s="6" t="s">
        <v>29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ht="4" customHeight="1" spans="1:64">
      <c r="A30" s="7"/>
      <c r="B30" s="7"/>
      <c r="C30" s="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ht="4" customHeight="1" spans="1:64">
      <c r="A31" s="4"/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</row>
    <row r="32" customHeight="1" spans="1:64">
      <c r="A32" s="4"/>
      <c r="B32" s="11"/>
      <c r="C32" s="4" t="s">
        <v>175</v>
      </c>
      <c r="D32" s="12"/>
      <c r="E32" s="12"/>
      <c r="F32" s="12"/>
      <c r="G32" s="12"/>
      <c r="H32" s="12"/>
      <c r="I32" s="12"/>
      <c r="J32" s="12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38"/>
      <c r="AA32" s="7"/>
      <c r="AB32" s="15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</row>
    <row r="33" ht="4" customHeight="1" spans="1:64">
      <c r="A33" s="4"/>
      <c r="B33" s="11"/>
      <c r="C33" s="4"/>
      <c r="D33" s="12"/>
      <c r="E33" s="12"/>
      <c r="F33" s="12"/>
      <c r="G33" s="12"/>
      <c r="H33" s="12"/>
      <c r="I33" s="12"/>
      <c r="J33" s="12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38"/>
      <c r="AA33" s="7"/>
      <c r="AB33" s="15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16"/>
      <c r="AN33" s="7"/>
      <c r="AO33" s="7"/>
      <c r="AP33" s="7"/>
      <c r="AQ33" s="7"/>
      <c r="AR33" s="7"/>
      <c r="AS33" s="7"/>
      <c r="AT33" s="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</row>
    <row r="34" customHeight="1" spans="1:64">
      <c r="A34" s="4"/>
      <c r="B34" s="161"/>
      <c r="C34" s="12"/>
      <c r="D34" s="157" t="s">
        <v>156</v>
      </c>
      <c r="E34" s="162" t="s">
        <v>176</v>
      </c>
      <c r="F34" s="7"/>
      <c r="G34" s="7"/>
      <c r="H34" s="7"/>
      <c r="I34" s="7"/>
      <c r="J34" s="7"/>
      <c r="K34" s="7"/>
      <c r="L34" s="7"/>
      <c r="M34" s="7"/>
      <c r="N34" s="4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37" t="b">
        <v>0</v>
      </c>
      <c r="AA34" s="7"/>
      <c r="AB34" s="15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</row>
    <row r="35" customHeight="1" spans="1:64">
      <c r="A35" s="4"/>
      <c r="B35" s="161"/>
      <c r="C35" s="12"/>
      <c r="D35" s="159" t="s">
        <v>158</v>
      </c>
      <c r="E35" s="162" t="s">
        <v>177</v>
      </c>
      <c r="F35" s="7"/>
      <c r="G35" s="7"/>
      <c r="H35" s="7"/>
      <c r="I35" s="7"/>
      <c r="J35" s="7"/>
      <c r="K35" s="7"/>
      <c r="L35" s="7"/>
      <c r="M35" s="7"/>
      <c r="N35" s="4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37" t="b">
        <v>0</v>
      </c>
      <c r="AA35" s="7"/>
      <c r="AB35" s="15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</row>
    <row r="36" customHeight="1" spans="1:64">
      <c r="A36" s="4"/>
      <c r="B36" s="11"/>
      <c r="C36" s="4"/>
      <c r="D36" s="159" t="s">
        <v>160</v>
      </c>
      <c r="E36" s="162" t="s">
        <v>178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7"/>
      <c r="Q36" s="7"/>
      <c r="R36" s="7"/>
      <c r="S36" s="7"/>
      <c r="T36" s="7"/>
      <c r="U36" s="7"/>
      <c r="V36" s="7"/>
      <c r="W36" s="7"/>
      <c r="X36" s="7"/>
      <c r="Y36" s="7"/>
      <c r="Z36" s="37" t="b">
        <v>0</v>
      </c>
      <c r="AA36" s="7"/>
      <c r="AB36" s="15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</row>
    <row r="37" customHeight="1" spans="1:64">
      <c r="A37" s="4"/>
      <c r="B37" s="11"/>
      <c r="C37" s="4"/>
      <c r="D37" s="157" t="s">
        <v>162</v>
      </c>
      <c r="E37" s="162" t="s">
        <v>179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7"/>
      <c r="Q37" s="7"/>
      <c r="R37" s="7"/>
      <c r="S37" s="7"/>
      <c r="T37" s="7"/>
      <c r="U37" s="7"/>
      <c r="V37" s="7"/>
      <c r="W37" s="7"/>
      <c r="X37" s="7"/>
      <c r="Y37" s="7"/>
      <c r="Z37" s="37" t="b">
        <v>0</v>
      </c>
      <c r="AA37" s="7"/>
      <c r="AB37" s="15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</row>
    <row r="38" ht="4" customHeight="1" spans="1:64">
      <c r="A38" s="4"/>
      <c r="B38" s="11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3"/>
      <c r="AA38" s="4"/>
      <c r="AB38" s="21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</row>
    <row r="39" customHeight="1" spans="1:64">
      <c r="A39" s="4"/>
      <c r="B39" s="11"/>
      <c r="C39" s="4" t="s">
        <v>180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3"/>
      <c r="X39" s="14"/>
      <c r="Y39" s="163"/>
      <c r="Z39" s="164" t="b">
        <v>0</v>
      </c>
      <c r="AA39" s="19" t="s">
        <v>150</v>
      </c>
      <c r="AB39" s="21"/>
      <c r="AC39" s="13"/>
      <c r="AD39" s="1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</row>
    <row r="40" ht="4" customHeight="1" spans="1:64">
      <c r="A40" s="4"/>
      <c r="B40" s="165"/>
      <c r="C40" s="29"/>
      <c r="D40" s="29"/>
      <c r="E40" s="29"/>
      <c r="F40" s="29"/>
      <c r="G40" s="29"/>
      <c r="H40" s="29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1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</row>
    <row r="41" ht="4" customHeight="1" spans="1:64">
      <c r="A41" s="4"/>
      <c r="B41" s="12"/>
      <c r="C41" s="12"/>
      <c r="D41" s="12"/>
      <c r="E41" s="12"/>
      <c r="F41" s="12"/>
      <c r="G41" s="12"/>
      <c r="H41" s="12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4"/>
    </row>
    <row r="42" customHeight="1" spans="1:64">
      <c r="A42" s="327" t="s">
        <v>181</v>
      </c>
      <c r="B42" s="4"/>
      <c r="C42" s="4"/>
      <c r="D42" s="12"/>
      <c r="E42" s="12"/>
      <c r="F42" s="12"/>
      <c r="G42" s="12"/>
      <c r="H42" s="12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4"/>
    </row>
    <row r="43" customHeight="1" spans="1:64">
      <c r="A43" s="4" t="s">
        <v>182</v>
      </c>
      <c r="B43" s="85"/>
      <c r="C43" s="85"/>
      <c r="D43" s="4"/>
      <c r="E43" s="85"/>
      <c r="F43" s="85"/>
      <c r="G43" s="85"/>
      <c r="H43" s="85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4"/>
    </row>
    <row r="44" customHeight="1" spans="1:64">
      <c r="A44" s="4" t="s">
        <v>183</v>
      </c>
      <c r="B44" s="4"/>
      <c r="C44" s="4"/>
      <c r="D44" s="4"/>
      <c r="E44" s="4"/>
      <c r="F44" s="4"/>
      <c r="G44" s="4"/>
      <c r="H44" s="4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4"/>
    </row>
    <row r="45" customHeight="1" spans="1:64">
      <c r="A45" s="4" t="s">
        <v>184</v>
      </c>
      <c r="B45" s="4"/>
      <c r="C45" s="4"/>
      <c r="D45" s="4"/>
      <c r="E45" s="4"/>
      <c r="F45" s="4"/>
      <c r="G45" s="4"/>
      <c r="H45" s="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4"/>
    </row>
    <row r="46" customHeight="1" spans="1:64">
      <c r="A46" s="4"/>
      <c r="B46" s="4" t="s">
        <v>185</v>
      </c>
      <c r="C46" s="4"/>
      <c r="D46" s="4"/>
      <c r="E46" s="4"/>
      <c r="F46" s="4"/>
      <c r="G46" s="4"/>
      <c r="H46" s="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4"/>
    </row>
    <row r="47" customHeight="1" spans="1:64">
      <c r="A47" s="4"/>
      <c r="B47" s="4"/>
      <c r="C47" s="4"/>
      <c r="D47" s="4"/>
      <c r="E47" s="4"/>
      <c r="F47" s="4"/>
      <c r="G47" s="4"/>
      <c r="H47" s="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4"/>
    </row>
    <row r="48" customHeight="1" spans="1:64">
      <c r="A48" s="3" t="s">
        <v>186</v>
      </c>
      <c r="B48" s="4"/>
      <c r="C48" s="4"/>
      <c r="D48" s="4"/>
      <c r="E48" s="4"/>
      <c r="F48" s="4"/>
      <c r="G48" s="4"/>
      <c r="H48" s="4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4"/>
    </row>
    <row r="49" customHeight="1" spans="1:92">
      <c r="A49" s="3" t="s">
        <v>28</v>
      </c>
      <c r="B49" s="4"/>
      <c r="C49" s="4"/>
      <c r="D49" s="4"/>
      <c r="E49" s="4"/>
      <c r="F49" s="4"/>
      <c r="G49" s="4"/>
      <c r="H49" s="4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4"/>
    </row>
    <row r="50" customHeight="1" spans="1:92">
      <c r="A50" s="6" t="s">
        <v>187</v>
      </c>
      <c r="B50" s="4"/>
      <c r="C50" s="4"/>
      <c r="D50" s="4"/>
      <c r="E50" s="4"/>
      <c r="F50" s="4"/>
      <c r="G50" s="4"/>
      <c r="H50" s="4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4"/>
    </row>
    <row r="51" ht="4" customHeight="1" spans="1:92">
      <c r="A51" s="4"/>
      <c r="B51" s="4"/>
      <c r="C51" s="4"/>
      <c r="D51" s="4"/>
      <c r="E51" s="4"/>
      <c r="F51" s="4"/>
      <c r="G51" s="4"/>
      <c r="H51" s="4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4"/>
    </row>
    <row r="52" customHeight="1" spans="1:92">
      <c r="A52" s="166"/>
      <c r="B52" s="87" t="s">
        <v>188</v>
      </c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 t="s">
        <v>189</v>
      </c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2"/>
      <c r="AS52" s="12"/>
      <c r="AT52" s="4"/>
    </row>
    <row r="53" customHeight="1" spans="1:92">
      <c r="A53" s="166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 t="s">
        <v>190</v>
      </c>
      <c r="O53" s="87"/>
      <c r="P53" s="87"/>
      <c r="Q53" s="87"/>
      <c r="R53" s="87"/>
      <c r="S53" s="87"/>
      <c r="T53" s="87"/>
      <c r="U53" s="87"/>
      <c r="V53" s="87"/>
      <c r="W53" s="167"/>
      <c r="X53" s="168" t="s">
        <v>191</v>
      </c>
      <c r="Y53" s="87"/>
      <c r="Z53" s="87"/>
      <c r="AA53" s="87"/>
      <c r="AB53" s="87"/>
      <c r="AC53" s="87"/>
      <c r="AD53" s="87"/>
      <c r="AE53" s="87"/>
      <c r="AF53" s="87"/>
      <c r="AG53" s="167"/>
      <c r="AH53" s="169" t="s">
        <v>192</v>
      </c>
      <c r="AI53" s="87"/>
      <c r="AJ53" s="87"/>
      <c r="AK53" s="87"/>
      <c r="AL53" s="87"/>
      <c r="AM53" s="87"/>
      <c r="AN53" s="87"/>
      <c r="AO53" s="87"/>
      <c r="AP53" s="87"/>
      <c r="AQ53" s="87"/>
      <c r="AR53" s="154"/>
      <c r="AS53" s="154"/>
      <c r="AT53" s="4"/>
      <c r="BK53" s="170"/>
      <c r="BL53" s="170"/>
      <c r="BM53" s="170"/>
      <c r="BN53" s="170"/>
      <c r="BO53" s="170"/>
      <c r="BP53" s="170"/>
      <c r="BQ53" s="170"/>
      <c r="BR53" s="170"/>
      <c r="BS53" s="170"/>
      <c r="BT53" s="170"/>
      <c r="BU53" s="170"/>
      <c r="BV53" s="170"/>
      <c r="BW53" s="170"/>
      <c r="BX53" s="170"/>
      <c r="BY53" s="170"/>
      <c r="BZ53" s="170"/>
      <c r="CA53" s="170"/>
      <c r="CB53" s="170"/>
      <c r="CC53" s="170"/>
      <c r="CD53" s="170"/>
      <c r="CE53" s="170"/>
      <c r="CF53" s="170"/>
      <c r="CG53" s="170"/>
      <c r="CH53" s="170"/>
      <c r="CI53" s="170"/>
      <c r="CJ53" s="170"/>
      <c r="CK53" s="170"/>
      <c r="CL53" s="170"/>
      <c r="CM53" s="170"/>
      <c r="CN53" s="170"/>
    </row>
    <row r="54" customHeight="1" spans="1:92">
      <c r="A54" s="171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137" t="s">
        <v>193</v>
      </c>
      <c r="O54" s="137"/>
      <c r="P54" s="137"/>
      <c r="Q54" s="137"/>
      <c r="R54" s="137"/>
      <c r="S54" s="137" t="s">
        <v>194</v>
      </c>
      <c r="T54" s="137"/>
      <c r="U54" s="137"/>
      <c r="V54" s="137"/>
      <c r="W54" s="172"/>
      <c r="X54" s="173" t="s">
        <v>193</v>
      </c>
      <c r="Y54" s="137"/>
      <c r="Z54" s="137"/>
      <c r="AA54" s="137"/>
      <c r="AB54" s="137"/>
      <c r="AC54" s="137" t="s">
        <v>194</v>
      </c>
      <c r="AD54" s="137"/>
      <c r="AE54" s="137"/>
      <c r="AF54" s="137"/>
      <c r="AG54" s="172"/>
      <c r="AH54" s="174" t="s">
        <v>193</v>
      </c>
      <c r="AI54" s="137"/>
      <c r="AJ54" s="137"/>
      <c r="AK54" s="137"/>
      <c r="AL54" s="137"/>
      <c r="AM54" s="137" t="s">
        <v>194</v>
      </c>
      <c r="AN54" s="137"/>
      <c r="AO54" s="137"/>
      <c r="AP54" s="137"/>
      <c r="AQ54" s="137"/>
      <c r="AR54" s="12"/>
      <c r="AS54" s="12"/>
      <c r="AT54" s="4"/>
    </row>
    <row r="55" customHeight="1" spans="1:92">
      <c r="A55" s="171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137"/>
      <c r="O55" s="137"/>
      <c r="P55" s="137"/>
      <c r="Q55" s="137"/>
      <c r="R55" s="137"/>
      <c r="S55" s="137"/>
      <c r="T55" s="137"/>
      <c r="U55" s="137"/>
      <c r="V55" s="137"/>
      <c r="W55" s="172"/>
      <c r="X55" s="173"/>
      <c r="Y55" s="137"/>
      <c r="Z55" s="137"/>
      <c r="AA55" s="137"/>
      <c r="AB55" s="137"/>
      <c r="AC55" s="137"/>
      <c r="AD55" s="137"/>
      <c r="AE55" s="137"/>
      <c r="AF55" s="137"/>
      <c r="AG55" s="172"/>
      <c r="AH55" s="174"/>
      <c r="AI55" s="137"/>
      <c r="AJ55" s="137"/>
      <c r="AK55" s="137"/>
      <c r="AL55" s="137"/>
      <c r="AM55" s="137"/>
      <c r="AN55" s="137"/>
      <c r="AO55" s="137"/>
      <c r="AP55" s="137"/>
      <c r="AQ55" s="137"/>
      <c r="AR55" s="12"/>
      <c r="AS55" s="12"/>
      <c r="AT55" s="12"/>
      <c r="AU55" s="170"/>
      <c r="AV55" s="170"/>
    </row>
    <row r="56" customHeight="1" spans="1:92">
      <c r="A56" s="154"/>
      <c r="B56" s="175" t="s">
        <v>195</v>
      </c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6"/>
      <c r="O56" s="176"/>
      <c r="P56" s="176"/>
      <c r="Q56" s="176"/>
      <c r="R56" s="176"/>
      <c r="S56" s="176"/>
      <c r="T56" s="176"/>
      <c r="U56" s="176"/>
      <c r="V56" s="176"/>
      <c r="W56" s="177"/>
      <c r="X56" s="178"/>
      <c r="Y56" s="176"/>
      <c r="Z56" s="176"/>
      <c r="AA56" s="176"/>
      <c r="AB56" s="176"/>
      <c r="AC56" s="176"/>
      <c r="AD56" s="176"/>
      <c r="AE56" s="176"/>
      <c r="AF56" s="176"/>
      <c r="AG56" s="177"/>
      <c r="AH56" s="178"/>
      <c r="AI56" s="176"/>
      <c r="AJ56" s="176"/>
      <c r="AK56" s="176"/>
      <c r="AL56" s="176"/>
      <c r="AM56" s="176"/>
      <c r="AN56" s="176"/>
      <c r="AO56" s="176"/>
      <c r="AP56" s="176"/>
      <c r="AQ56" s="176"/>
      <c r="AR56" s="154"/>
      <c r="AS56" s="154"/>
      <c r="AT56" s="12"/>
      <c r="AU56" s="170"/>
      <c r="AV56" s="170"/>
    </row>
    <row r="57" customHeight="1" spans="1:92">
      <c r="A57" s="154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6"/>
      <c r="O57" s="176"/>
      <c r="P57" s="176"/>
      <c r="Q57" s="176"/>
      <c r="R57" s="176"/>
      <c r="S57" s="176"/>
      <c r="T57" s="176"/>
      <c r="U57" s="176"/>
      <c r="V57" s="176"/>
      <c r="W57" s="177"/>
      <c r="X57" s="178"/>
      <c r="Y57" s="176"/>
      <c r="Z57" s="176"/>
      <c r="AA57" s="176"/>
      <c r="AB57" s="176"/>
      <c r="AC57" s="176"/>
      <c r="AD57" s="176"/>
      <c r="AE57" s="176"/>
      <c r="AF57" s="176"/>
      <c r="AG57" s="177"/>
      <c r="AH57" s="178"/>
      <c r="AI57" s="176"/>
      <c r="AJ57" s="176"/>
      <c r="AK57" s="176"/>
      <c r="AL57" s="176"/>
      <c r="AM57" s="176"/>
      <c r="AN57" s="176"/>
      <c r="AO57" s="176"/>
      <c r="AP57" s="176"/>
      <c r="AQ57" s="176"/>
      <c r="AR57" s="154"/>
      <c r="AS57" s="154"/>
      <c r="AT57" s="12"/>
      <c r="AU57" s="170"/>
      <c r="AV57" s="170"/>
    </row>
    <row r="58" customHeight="1" spans="1:92">
      <c r="A58" s="154"/>
      <c r="B58" s="175" t="s">
        <v>196</v>
      </c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6"/>
      <c r="O58" s="176"/>
      <c r="P58" s="176"/>
      <c r="Q58" s="176"/>
      <c r="R58" s="176"/>
      <c r="S58" s="176"/>
      <c r="T58" s="176"/>
      <c r="U58" s="176"/>
      <c r="V58" s="176"/>
      <c r="W58" s="177"/>
      <c r="X58" s="178"/>
      <c r="Y58" s="176"/>
      <c r="Z58" s="176"/>
      <c r="AA58" s="176"/>
      <c r="AB58" s="176"/>
      <c r="AC58" s="176"/>
      <c r="AD58" s="176"/>
      <c r="AE58" s="176"/>
      <c r="AF58" s="176"/>
      <c r="AG58" s="177"/>
      <c r="AH58" s="178"/>
      <c r="AI58" s="176"/>
      <c r="AJ58" s="176"/>
      <c r="AK58" s="176"/>
      <c r="AL58" s="176"/>
      <c r="AM58" s="176"/>
      <c r="AN58" s="176"/>
      <c r="AO58" s="176"/>
      <c r="AP58" s="176"/>
      <c r="AQ58" s="176"/>
      <c r="AR58" s="154"/>
      <c r="AS58" s="154"/>
      <c r="AT58" s="12"/>
      <c r="AU58" s="170"/>
      <c r="AV58" s="170"/>
    </row>
    <row r="59" customHeight="1" spans="1:92">
      <c r="A59" s="154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6"/>
      <c r="O59" s="176"/>
      <c r="P59" s="176"/>
      <c r="Q59" s="176"/>
      <c r="R59" s="176"/>
      <c r="S59" s="176"/>
      <c r="T59" s="176"/>
      <c r="U59" s="176"/>
      <c r="V59" s="176"/>
      <c r="W59" s="177"/>
      <c r="X59" s="178"/>
      <c r="Y59" s="176"/>
      <c r="Z59" s="176"/>
      <c r="AA59" s="176"/>
      <c r="AB59" s="176"/>
      <c r="AC59" s="176"/>
      <c r="AD59" s="176"/>
      <c r="AE59" s="176"/>
      <c r="AF59" s="176"/>
      <c r="AG59" s="177"/>
      <c r="AH59" s="178"/>
      <c r="AI59" s="176"/>
      <c r="AJ59" s="176"/>
      <c r="AK59" s="176"/>
      <c r="AL59" s="176"/>
      <c r="AM59" s="176"/>
      <c r="AN59" s="176"/>
      <c r="AO59" s="176"/>
      <c r="AP59" s="176"/>
      <c r="AQ59" s="176"/>
      <c r="AR59" s="154"/>
      <c r="AS59" s="154"/>
      <c r="AT59" s="4"/>
    </row>
    <row r="60" customHeight="1" spans="1:92">
      <c r="A60" s="154"/>
      <c r="B60" s="175" t="s">
        <v>197</v>
      </c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6"/>
      <c r="O60" s="176"/>
      <c r="P60" s="176"/>
      <c r="Q60" s="176"/>
      <c r="R60" s="176"/>
      <c r="S60" s="176"/>
      <c r="T60" s="176"/>
      <c r="U60" s="176"/>
      <c r="V60" s="176"/>
      <c r="W60" s="177"/>
      <c r="X60" s="178"/>
      <c r="Y60" s="176"/>
      <c r="Z60" s="176"/>
      <c r="AA60" s="176"/>
      <c r="AB60" s="176"/>
      <c r="AC60" s="176"/>
      <c r="AD60" s="176"/>
      <c r="AE60" s="176"/>
      <c r="AF60" s="176"/>
      <c r="AG60" s="177"/>
      <c r="AH60" s="178"/>
      <c r="AI60" s="176"/>
      <c r="AJ60" s="176"/>
      <c r="AK60" s="176"/>
      <c r="AL60" s="176"/>
      <c r="AM60" s="176"/>
      <c r="AN60" s="176"/>
      <c r="AO60" s="176"/>
      <c r="AP60" s="176"/>
      <c r="AQ60" s="176"/>
      <c r="AR60" s="154"/>
      <c r="AS60" s="154"/>
      <c r="AT60" s="4"/>
    </row>
    <row r="61" customHeight="1" spans="1:92">
      <c r="A61" s="154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6"/>
      <c r="O61" s="176"/>
      <c r="P61" s="176"/>
      <c r="Q61" s="176"/>
      <c r="R61" s="176"/>
      <c r="S61" s="176"/>
      <c r="T61" s="176"/>
      <c r="U61" s="176"/>
      <c r="V61" s="176"/>
      <c r="W61" s="177"/>
      <c r="X61" s="178"/>
      <c r="Y61" s="176"/>
      <c r="Z61" s="176"/>
      <c r="AA61" s="176"/>
      <c r="AB61" s="176"/>
      <c r="AC61" s="176"/>
      <c r="AD61" s="176"/>
      <c r="AE61" s="176"/>
      <c r="AF61" s="176"/>
      <c r="AG61" s="177"/>
      <c r="AH61" s="178"/>
      <c r="AI61" s="176"/>
      <c r="AJ61" s="176"/>
      <c r="AK61" s="176"/>
      <c r="AL61" s="176"/>
      <c r="AM61" s="176"/>
      <c r="AN61" s="176"/>
      <c r="AO61" s="176"/>
      <c r="AP61" s="176"/>
      <c r="AQ61" s="176"/>
      <c r="AR61" s="154"/>
      <c r="AS61" s="154"/>
      <c r="AT61" s="4"/>
    </row>
    <row r="62" customHeight="1" spans="1:92">
      <c r="A62" s="154"/>
      <c r="B62" s="175" t="s">
        <v>198</v>
      </c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6"/>
      <c r="O62" s="176"/>
      <c r="P62" s="176"/>
      <c r="Q62" s="176"/>
      <c r="R62" s="176"/>
      <c r="S62" s="176"/>
      <c r="T62" s="176"/>
      <c r="U62" s="176"/>
      <c r="V62" s="176"/>
      <c r="W62" s="177"/>
      <c r="X62" s="178"/>
      <c r="Y62" s="176"/>
      <c r="Z62" s="176"/>
      <c r="AA62" s="176"/>
      <c r="AB62" s="176"/>
      <c r="AC62" s="176"/>
      <c r="AD62" s="176"/>
      <c r="AE62" s="176"/>
      <c r="AF62" s="176"/>
      <c r="AG62" s="177"/>
      <c r="AH62" s="178"/>
      <c r="AI62" s="176"/>
      <c r="AJ62" s="176"/>
      <c r="AK62" s="176"/>
      <c r="AL62" s="176"/>
      <c r="AM62" s="176"/>
      <c r="AN62" s="176"/>
      <c r="AO62" s="176"/>
      <c r="AP62" s="176"/>
      <c r="AQ62" s="176"/>
      <c r="AR62" s="154"/>
      <c r="AS62" s="154"/>
      <c r="AT62" s="4"/>
    </row>
    <row r="63" customHeight="1" spans="1:92">
      <c r="A63" s="154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6"/>
      <c r="O63" s="176"/>
      <c r="P63" s="176"/>
      <c r="Q63" s="176"/>
      <c r="R63" s="176"/>
      <c r="S63" s="176"/>
      <c r="T63" s="176"/>
      <c r="U63" s="176"/>
      <c r="V63" s="176"/>
      <c r="W63" s="177"/>
      <c r="X63" s="178"/>
      <c r="Y63" s="176"/>
      <c r="Z63" s="176"/>
      <c r="AA63" s="176"/>
      <c r="AB63" s="176"/>
      <c r="AC63" s="176"/>
      <c r="AD63" s="176"/>
      <c r="AE63" s="176"/>
      <c r="AF63" s="176"/>
      <c r="AG63" s="177"/>
      <c r="AH63" s="178"/>
      <c r="AI63" s="176"/>
      <c r="AJ63" s="176"/>
      <c r="AK63" s="176"/>
      <c r="AL63" s="176"/>
      <c r="AM63" s="176"/>
      <c r="AN63" s="176"/>
      <c r="AO63" s="176"/>
      <c r="AP63" s="176"/>
      <c r="AQ63" s="176"/>
      <c r="AR63" s="154"/>
      <c r="AS63" s="154"/>
      <c r="AT63" s="7"/>
      <c r="AU63" s="17"/>
      <c r="AV63" s="17"/>
      <c r="AW63" s="17"/>
      <c r="AX63" s="17"/>
      <c r="AY63" s="17"/>
      <c r="AZ63" s="17"/>
      <c r="BA63" s="17"/>
      <c r="BB63" s="17"/>
      <c r="BC63" s="17"/>
    </row>
    <row r="64" ht="4" customHeight="1" spans="1:92">
      <c r="A64" s="154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9"/>
      <c r="AC64" s="179"/>
      <c r="AD64" s="179"/>
      <c r="AE64" s="179"/>
      <c r="AF64" s="179"/>
      <c r="AG64" s="179"/>
      <c r="AH64" s="179"/>
      <c r="AI64" s="179"/>
      <c r="AJ64" s="179"/>
      <c r="AK64" s="179"/>
      <c r="AL64" s="179"/>
      <c r="AM64" s="179"/>
      <c r="AN64" s="179"/>
      <c r="AO64" s="179"/>
      <c r="AP64" s="179"/>
      <c r="AQ64" s="179"/>
      <c r="AR64" s="154"/>
      <c r="AS64" s="154"/>
      <c r="AT64" s="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</row>
    <row r="65" customHeight="1" spans="1:46">
      <c r="A65" s="85" t="s">
        <v>199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customHeight="1" spans="1:46">
      <c r="A66" s="4"/>
      <c r="B66" s="4"/>
      <c r="C66" s="4"/>
      <c r="D66" s="4"/>
      <c r="E66" s="4" t="s">
        <v>200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 customHeight="1" spans="1:46">
      <c r="A67" s="4"/>
      <c r="B67" s="4"/>
      <c r="C67" s="4"/>
      <c r="D67" s="4"/>
      <c r="E67" s="4" t="s">
        <v>201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18"/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 customHeight="1" spans="1:46">
      <c r="A68" s="4"/>
      <c r="B68" s="4"/>
      <c r="C68" s="4"/>
      <c r="D68" s="4"/>
      <c r="E68" s="4" t="s">
        <v>202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18"/>
      <c r="AK68" s="4"/>
      <c r="AL68" s="4"/>
      <c r="AM68" s="4"/>
      <c r="AN68" s="4"/>
      <c r="AO68" s="4"/>
      <c r="AP68" s="4"/>
      <c r="AQ68" s="4"/>
      <c r="AR68" s="4"/>
      <c r="AS68" s="4"/>
      <c r="AT68" s="4"/>
    </row>
    <row r="69" customHeight="1" spans="1:46">
      <c r="A69" s="4"/>
      <c r="B69" s="4"/>
      <c r="C69" s="4"/>
      <c r="D69" s="4"/>
      <c r="E69" s="4" t="s">
        <v>203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</row>
  </sheetData>
  <sheetProtection algorithmName="SHA-512" hashValue="Yx6PqNnRpp4mR2gcz3No0pTmesrR7h/xB/7BJ2180KxPUXWMnFjepr2uVRLFJKqBqpFLVno8UclaHGgbFqxwOQ==" saltValue="oaUZEyAqlwwKjcTLllXxYQ==" spinCount="100000" sheet="1" objects="1" scenarios="1"/>
  <protectedRanges>
    <protectedRange sqref="AA6 AA8 N10 U15:AD23 Z34:Z37 Z39 N56:AQ63" name="IX. Boxes 2 to 3 Table 2"/>
  </protectedRanges>
  <mergeCells count="60">
    <mergeCell ref="N10:Y10"/>
    <mergeCell ref="U14:Y14"/>
    <mergeCell ref="Z14:AD14"/>
    <mergeCell ref="U15:Y15"/>
    <mergeCell ref="Z15:AD15"/>
    <mergeCell ref="U16:Y16"/>
    <mergeCell ref="Z16:AD16"/>
    <mergeCell ref="U17:Y17"/>
    <mergeCell ref="Z17:AD17"/>
    <mergeCell ref="U18:Y18"/>
    <mergeCell ref="Z18:AD18"/>
    <mergeCell ref="U19:Y19"/>
    <mergeCell ref="Z19:AD19"/>
    <mergeCell ref="U20:Y20"/>
    <mergeCell ref="Z20:AD20"/>
    <mergeCell ref="U21:Y21"/>
    <mergeCell ref="Z21:AD21"/>
    <mergeCell ref="U22:Y22"/>
    <mergeCell ref="Z22:AD22"/>
    <mergeCell ref="U23:Y23"/>
    <mergeCell ref="Z23:AD23"/>
    <mergeCell ref="N52:AQ52"/>
    <mergeCell ref="N53:W53"/>
    <mergeCell ref="X53:AG53"/>
    <mergeCell ref="AH53:AQ53"/>
    <mergeCell ref="B52:M55"/>
    <mergeCell ref="N54:R55"/>
    <mergeCell ref="S54:W55"/>
    <mergeCell ref="X54:AB55"/>
    <mergeCell ref="AC54:AG55"/>
    <mergeCell ref="AH54:AL55"/>
    <mergeCell ref="AM54:AQ55"/>
    <mergeCell ref="B56:M57"/>
    <mergeCell ref="N56:R57"/>
    <mergeCell ref="S56:W57"/>
    <mergeCell ref="X56:AB57"/>
    <mergeCell ref="AC56:AG57"/>
    <mergeCell ref="AH56:AL57"/>
    <mergeCell ref="AM56:AQ57"/>
    <mergeCell ref="B58:M59"/>
    <mergeCell ref="N58:R59"/>
    <mergeCell ref="S58:W59"/>
    <mergeCell ref="X58:AB59"/>
    <mergeCell ref="AC58:AG59"/>
    <mergeCell ref="AH58:AL59"/>
    <mergeCell ref="AM58:AQ59"/>
    <mergeCell ref="B60:M61"/>
    <mergeCell ref="N60:R61"/>
    <mergeCell ref="S60:W61"/>
    <mergeCell ref="X60:AB61"/>
    <mergeCell ref="AC60:AG61"/>
    <mergeCell ref="AH60:AL61"/>
    <mergeCell ref="AM60:AQ61"/>
    <mergeCell ref="B62:M63"/>
    <mergeCell ref="N62:R63"/>
    <mergeCell ref="S62:W63"/>
    <mergeCell ref="X62:AB63"/>
    <mergeCell ref="AC62:AG63"/>
    <mergeCell ref="AH62:AL63"/>
    <mergeCell ref="AM62:AQ63"/>
  </mergeCells>
  <dataValidations count="2">
    <dataValidation type="whole" operator="between" allowBlank="1" showInputMessage="1" showErrorMessage="1" errorTitle="GSP SY 2025-2026" error="Please enter a valid number from 0-50." sqref="N10:Y10">
      <formula1>0</formula1>
      <formula2>50</formula2>
    </dataValidation>
    <dataValidation type="whole" operator="between" allowBlank="1" showInputMessage="1" showErrorMessage="1" errorTitle="GSP SY 2025-2026" error="Please enter a valid number from 0 to 99." sqref="N56:AQ63">
      <formula1>0</formula1>
      <formula2>99</formula2>
    </dataValidation>
  </dataValidations>
  <printOptions horizontalCentered="1"/>
  <pageMargins left="0.15748031496063" right="0.15748031496063" top="0.15748031496063" bottom="0.31496062992126" header="0.31496062992126" footer="0.15748031496063"/>
  <pageSetup paperSize="9" scale="104" orientation="portrait"/>
  <headerFooter>
    <oddFooter>&amp;LGSP, SY 2025-2026&amp;RPage 51 of 85</oddFooter>
  </headerFooter>
  <colBreaks count="1" manualBreakCount="1">
    <brk id="69" max="70" man="1"/>
  </colBreak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name="Check Box 1" r:id="rId3">
              <controlPr defaultSize="0">
                <anchor moveWithCells="1">
                  <from>
                    <xdr:col>25</xdr:col>
                    <xdr:colOff>133350</xdr:colOff>
                    <xdr:row>4</xdr:row>
                    <xdr:rowOff>12700</xdr:rowOff>
                  </from>
                  <to>
                    <xdr:col>27</xdr:col>
                    <xdr:colOff>88900</xdr:colOff>
                    <xdr:row>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name="Check Box 2" r:id="rId4">
              <controlPr defaultSize="0">
                <anchor moveWithCells="1">
                  <from>
                    <xdr:col>25</xdr:col>
                    <xdr:colOff>133350</xdr:colOff>
                    <xdr:row>6</xdr:row>
                    <xdr:rowOff>12700</xdr:rowOff>
                  </from>
                  <to>
                    <xdr:col>27</xdr:col>
                    <xdr:colOff>88900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name="Check Box 3" r:id="rId5">
              <controlPr defaultSize="0">
                <anchor moveWithCells="1">
                  <from>
                    <xdr:col>21</xdr:col>
                    <xdr:colOff>133350</xdr:colOff>
                    <xdr:row>13</xdr:row>
                    <xdr:rowOff>127000</xdr:rowOff>
                  </from>
                  <to>
                    <xdr:col>23</xdr:col>
                    <xdr:colOff>88900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name="Check Box 4" r:id="rId6">
              <controlPr defaultSize="0">
                <anchor moveWithCells="1">
                  <from>
                    <xdr:col>26</xdr:col>
                    <xdr:colOff>133350</xdr:colOff>
                    <xdr:row>13</xdr:row>
                    <xdr:rowOff>127000</xdr:rowOff>
                  </from>
                  <to>
                    <xdr:col>28</xdr:col>
                    <xdr:colOff>88900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name="Check Box 5" r:id="rId7">
              <controlPr defaultSize="0">
                <anchor moveWithCells="1">
                  <from>
                    <xdr:col>21</xdr:col>
                    <xdr:colOff>133350</xdr:colOff>
                    <xdr:row>14</xdr:row>
                    <xdr:rowOff>127000</xdr:rowOff>
                  </from>
                  <to>
                    <xdr:col>23</xdr:col>
                    <xdr:colOff>88900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name="Check Box 6" r:id="rId8">
              <controlPr defaultSize="0">
                <anchor moveWithCells="1">
                  <from>
                    <xdr:col>26</xdr:col>
                    <xdr:colOff>133350</xdr:colOff>
                    <xdr:row>14</xdr:row>
                    <xdr:rowOff>127000</xdr:rowOff>
                  </from>
                  <to>
                    <xdr:col>28</xdr:col>
                    <xdr:colOff>88900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name="Check Box 7" r:id="rId9">
              <controlPr defaultSize="0">
                <anchor moveWithCells="1">
                  <from>
                    <xdr:col>21</xdr:col>
                    <xdr:colOff>133350</xdr:colOff>
                    <xdr:row>15</xdr:row>
                    <xdr:rowOff>133350</xdr:rowOff>
                  </from>
                  <to>
                    <xdr:col>23</xdr:col>
                    <xdr:colOff>88900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name="Check Box 8" r:id="rId10">
              <controlPr defaultSize="0">
                <anchor moveWithCells="1">
                  <from>
                    <xdr:col>26</xdr:col>
                    <xdr:colOff>133350</xdr:colOff>
                    <xdr:row>15</xdr:row>
                    <xdr:rowOff>127000</xdr:rowOff>
                  </from>
                  <to>
                    <xdr:col>28</xdr:col>
                    <xdr:colOff>88900</xdr:colOff>
                    <xdr:row>17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name="Check Box 9" r:id="rId11">
              <controlPr defaultSize="0">
                <anchor moveWithCells="1">
                  <from>
                    <xdr:col>21</xdr:col>
                    <xdr:colOff>133350</xdr:colOff>
                    <xdr:row>16</xdr:row>
                    <xdr:rowOff>127000</xdr:rowOff>
                  </from>
                  <to>
                    <xdr:col>23</xdr:col>
                    <xdr:colOff>88900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name="Check Box 10" r:id="rId12">
              <controlPr defaultSize="0">
                <anchor moveWithCells="1">
                  <from>
                    <xdr:col>26</xdr:col>
                    <xdr:colOff>133350</xdr:colOff>
                    <xdr:row>16</xdr:row>
                    <xdr:rowOff>127000</xdr:rowOff>
                  </from>
                  <to>
                    <xdr:col>28</xdr:col>
                    <xdr:colOff>88900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name="Check Box 11" r:id="rId13">
              <controlPr defaultSize="0">
                <anchor moveWithCells="1">
                  <from>
                    <xdr:col>21</xdr:col>
                    <xdr:colOff>133350</xdr:colOff>
                    <xdr:row>17</xdr:row>
                    <xdr:rowOff>127000</xdr:rowOff>
                  </from>
                  <to>
                    <xdr:col>23</xdr:col>
                    <xdr:colOff>88900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name="Check Box 12" r:id="rId14">
              <controlPr defaultSize="0">
                <anchor moveWithCells="1">
                  <from>
                    <xdr:col>26</xdr:col>
                    <xdr:colOff>133350</xdr:colOff>
                    <xdr:row>17</xdr:row>
                    <xdr:rowOff>127000</xdr:rowOff>
                  </from>
                  <to>
                    <xdr:col>28</xdr:col>
                    <xdr:colOff>88900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name="Check Box 13" r:id="rId15">
              <controlPr defaultSize="0">
                <anchor moveWithCells="1">
                  <from>
                    <xdr:col>21</xdr:col>
                    <xdr:colOff>133350</xdr:colOff>
                    <xdr:row>18</xdr:row>
                    <xdr:rowOff>127000</xdr:rowOff>
                  </from>
                  <to>
                    <xdr:col>23</xdr:col>
                    <xdr:colOff>88900</xdr:colOff>
                    <xdr:row>20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name="Check Box 14" r:id="rId16">
              <controlPr defaultSize="0">
                <anchor moveWithCells="1">
                  <from>
                    <xdr:col>26</xdr:col>
                    <xdr:colOff>133350</xdr:colOff>
                    <xdr:row>18</xdr:row>
                    <xdr:rowOff>127000</xdr:rowOff>
                  </from>
                  <to>
                    <xdr:col>28</xdr:col>
                    <xdr:colOff>88900</xdr:colOff>
                    <xdr:row>20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name="Check Box 15" r:id="rId17">
              <controlPr defaultSize="0">
                <anchor moveWithCells="1">
                  <from>
                    <xdr:col>21</xdr:col>
                    <xdr:colOff>133350</xdr:colOff>
                    <xdr:row>19</xdr:row>
                    <xdr:rowOff>127000</xdr:rowOff>
                  </from>
                  <to>
                    <xdr:col>23</xdr:col>
                    <xdr:colOff>88900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name="Check Box 16" r:id="rId18">
              <controlPr defaultSize="0">
                <anchor moveWithCells="1">
                  <from>
                    <xdr:col>26</xdr:col>
                    <xdr:colOff>133350</xdr:colOff>
                    <xdr:row>19</xdr:row>
                    <xdr:rowOff>127000</xdr:rowOff>
                  </from>
                  <to>
                    <xdr:col>28</xdr:col>
                    <xdr:colOff>88900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name="Check Box 17" r:id="rId19">
              <controlPr defaultSize="0">
                <anchor moveWithCells="1">
                  <from>
                    <xdr:col>21</xdr:col>
                    <xdr:colOff>133350</xdr:colOff>
                    <xdr:row>20</xdr:row>
                    <xdr:rowOff>127000</xdr:rowOff>
                  </from>
                  <to>
                    <xdr:col>23</xdr:col>
                    <xdr:colOff>88900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name="Check Box 18" r:id="rId20">
              <controlPr defaultSize="0">
                <anchor moveWithCells="1">
                  <from>
                    <xdr:col>26</xdr:col>
                    <xdr:colOff>133350</xdr:colOff>
                    <xdr:row>20</xdr:row>
                    <xdr:rowOff>127000</xdr:rowOff>
                  </from>
                  <to>
                    <xdr:col>28</xdr:col>
                    <xdr:colOff>88900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name="Check Box 19" r:id="rId21">
              <controlPr defaultSize="0">
                <anchor moveWithCells="1">
                  <from>
                    <xdr:col>21</xdr:col>
                    <xdr:colOff>133350</xdr:colOff>
                    <xdr:row>21</xdr:row>
                    <xdr:rowOff>127000</xdr:rowOff>
                  </from>
                  <to>
                    <xdr:col>23</xdr:col>
                    <xdr:colOff>88900</xdr:colOff>
                    <xdr:row>23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name="Check Box 20" r:id="rId22">
              <controlPr defaultSize="0">
                <anchor moveWithCells="1">
                  <from>
                    <xdr:col>26</xdr:col>
                    <xdr:colOff>133350</xdr:colOff>
                    <xdr:row>21</xdr:row>
                    <xdr:rowOff>127000</xdr:rowOff>
                  </from>
                  <to>
                    <xdr:col>28</xdr:col>
                    <xdr:colOff>88900</xdr:colOff>
                    <xdr:row>23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name="Check Box 21" r:id="rId23">
              <controlPr defaultSize="0">
                <anchor moveWithCells="1">
                  <from>
                    <xdr:col>24</xdr:col>
                    <xdr:colOff>127000</xdr:colOff>
                    <xdr:row>32</xdr:row>
                    <xdr:rowOff>12700</xdr:rowOff>
                  </from>
                  <to>
                    <xdr:col>26</xdr:col>
                    <xdr:colOff>88900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name="Check Box 22" r:id="rId24">
              <controlPr defaultSize="0">
                <anchor moveWithCells="1">
                  <from>
                    <xdr:col>24</xdr:col>
                    <xdr:colOff>127000</xdr:colOff>
                    <xdr:row>33</xdr:row>
                    <xdr:rowOff>114300</xdr:rowOff>
                  </from>
                  <to>
                    <xdr:col>26</xdr:col>
                    <xdr:colOff>88900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name="Check Box 23" r:id="rId25">
              <controlPr defaultSize="0">
                <anchor moveWithCells="1">
                  <from>
                    <xdr:col>24</xdr:col>
                    <xdr:colOff>127000</xdr:colOff>
                    <xdr:row>34</xdr:row>
                    <xdr:rowOff>114300</xdr:rowOff>
                  </from>
                  <to>
                    <xdr:col>26</xdr:col>
                    <xdr:colOff>88900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name="Check Box 24" r:id="rId26">
              <controlPr defaultSize="0">
                <anchor moveWithCells="1">
                  <from>
                    <xdr:col>24</xdr:col>
                    <xdr:colOff>127000</xdr:colOff>
                    <xdr:row>35</xdr:row>
                    <xdr:rowOff>114300</xdr:rowOff>
                  </from>
                  <to>
                    <xdr:col>26</xdr:col>
                    <xdr:colOff>88900</xdr:colOff>
                    <xdr:row>37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name="Check Box 25" r:id="rId27">
              <controlPr defaultSize="0">
                <anchor moveWithCells="1">
                  <from>
                    <xdr:col>24</xdr:col>
                    <xdr:colOff>127000</xdr:colOff>
                    <xdr:row>37</xdr:row>
                    <xdr:rowOff>12700</xdr:rowOff>
                  </from>
                  <to>
                    <xdr:col>26</xdr:col>
                    <xdr:colOff>88900</xdr:colOff>
                    <xdr:row>39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F09A"/>
  </sheetPr>
  <dimension ref="A1:BN55"/>
  <sheetViews>
    <sheetView view="pageBreakPreview" zoomScale="145" zoomScaleNormal="100" workbookViewId="0">
      <selection activeCell="M12" sqref="M12:R13"/>
    </sheetView>
  </sheetViews>
  <sheetFormatPr defaultColWidth="2.18181818181818" defaultRowHeight="12" customHeight="1"/>
  <cols>
    <col min="1" max="2" width="0.272727272727273" style="4" customWidth="1"/>
    <col min="3" max="6" width="2.18181818181818" style="4"/>
    <col min="7" max="8" width="2.18181818181818" style="4" customWidth="1"/>
    <col min="9" max="48" width="2.27272727272727" style="4" customWidth="1"/>
    <col min="49" max="50" width="0.272727272727273" style="4" customWidth="1"/>
    <col min="51" max="52" width="0.818181818181818" style="4" customWidth="1"/>
    <col min="53" max="66" width="2.27272727272727" style="4" customWidth="1"/>
    <col min="67" max="67" width="0.272727272727273" style="4" customWidth="1"/>
    <col min="68" max="69" width="2.18181818181818" style="4"/>
    <col min="70" max="70" width="0.272727272727273" style="4" customWidth="1"/>
    <col min="71" max="16384" width="2.18181818181818" style="4"/>
  </cols>
  <sheetData>
    <row r="1" customHeight="1" spans="1:66">
      <c r="A1" s="3" t="s">
        <v>204</v>
      </c>
      <c r="B1" s="3"/>
    </row>
    <row r="2" customHeight="1" spans="1:66">
      <c r="A2" s="3" t="s">
        <v>28</v>
      </c>
      <c r="B2" s="3"/>
    </row>
    <row r="3" customHeight="1" spans="1:66">
      <c r="A3" s="6" t="s">
        <v>29</v>
      </c>
      <c r="B3" s="6"/>
    </row>
    <row r="4" ht="4" customHeight="1" spans="1:66">
      <c r="A4" s="7"/>
      <c r="B4" s="7"/>
      <c r="C4" s="7"/>
    </row>
    <row r="5" ht="4" customHeight="1" spans="1:66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3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10"/>
    </row>
    <row r="6" customHeight="1" spans="1:66">
      <c r="A6" s="11"/>
      <c r="C6" s="4" t="s">
        <v>205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U6" s="37" t="b">
        <v>0</v>
      </c>
      <c r="V6" s="19" t="s">
        <v>150</v>
      </c>
      <c r="W6" s="7"/>
      <c r="Z6" s="13"/>
      <c r="AA6" s="13"/>
      <c r="AC6" s="13"/>
      <c r="AD6" s="14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15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</row>
    <row r="7" ht="4" customHeight="1" spans="1:66">
      <c r="A7" s="11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13"/>
      <c r="X7" s="14"/>
      <c r="Y7" s="13"/>
      <c r="Z7" s="13"/>
      <c r="AB7" s="13"/>
      <c r="AC7" s="14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15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</row>
    <row r="8" customHeight="1" spans="1:66">
      <c r="A8" s="11"/>
      <c r="C8" s="325" t="s">
        <v>206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13"/>
      <c r="X8" s="14"/>
      <c r="Y8" s="13"/>
      <c r="Z8" s="13"/>
      <c r="AB8" s="13"/>
      <c r="AC8" s="14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15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</row>
    <row r="9" ht="4" customHeight="1" spans="1:66">
      <c r="A9" s="11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13"/>
      <c r="X9" s="14"/>
      <c r="Y9" s="13"/>
      <c r="Z9" s="13"/>
      <c r="AB9" s="13"/>
      <c r="AC9" s="14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15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</row>
    <row r="10" customHeight="1" spans="1:66">
      <c r="A10" s="11"/>
      <c r="D10" s="104" t="s">
        <v>207</v>
      </c>
      <c r="E10" s="104"/>
      <c r="F10" s="104"/>
      <c r="G10" s="104"/>
      <c r="H10" s="104"/>
      <c r="I10" s="104"/>
      <c r="J10" s="104"/>
      <c r="K10" s="104"/>
      <c r="L10" s="104"/>
      <c r="M10" s="104" t="s">
        <v>208</v>
      </c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15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</row>
    <row r="11" customHeight="1" spans="1:66">
      <c r="A11" s="11"/>
      <c r="C11" s="7"/>
      <c r="D11" s="104"/>
      <c r="E11" s="104"/>
      <c r="F11" s="104"/>
      <c r="G11" s="104"/>
      <c r="H11" s="104"/>
      <c r="I11" s="104"/>
      <c r="J11" s="104"/>
      <c r="K11" s="104"/>
      <c r="L11" s="104"/>
      <c r="M11" s="104" t="s">
        <v>106</v>
      </c>
      <c r="N11" s="104"/>
      <c r="O11" s="104"/>
      <c r="P11" s="104"/>
      <c r="Q11" s="104"/>
      <c r="R11" s="104"/>
      <c r="S11" s="104" t="s">
        <v>107</v>
      </c>
      <c r="T11" s="104"/>
      <c r="U11" s="104"/>
      <c r="V11" s="104"/>
      <c r="W11" s="104"/>
      <c r="X11" s="105"/>
      <c r="Y11" s="106" t="s">
        <v>54</v>
      </c>
      <c r="Z11" s="104"/>
      <c r="AA11" s="104"/>
      <c r="AB11" s="104"/>
      <c r="AC11" s="104"/>
      <c r="AD11" s="104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15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</row>
    <row r="12" customHeight="1" spans="1:66">
      <c r="A12" s="11"/>
      <c r="C12" s="7"/>
      <c r="D12" s="107" t="s">
        <v>190</v>
      </c>
      <c r="E12" s="107"/>
      <c r="F12" s="107"/>
      <c r="G12" s="107"/>
      <c r="H12" s="107"/>
      <c r="I12" s="107"/>
      <c r="J12" s="107"/>
      <c r="K12" s="107"/>
      <c r="L12" s="107"/>
      <c r="M12" s="108"/>
      <c r="N12" s="109"/>
      <c r="O12" s="109"/>
      <c r="P12" s="109"/>
      <c r="Q12" s="109"/>
      <c r="R12" s="110"/>
      <c r="S12" s="108"/>
      <c r="T12" s="109"/>
      <c r="U12" s="109"/>
      <c r="V12" s="109"/>
      <c r="W12" s="109"/>
      <c r="X12" s="111"/>
      <c r="Y12" s="112">
        <f>SUM(M12:X13)</f>
        <v>0</v>
      </c>
      <c r="Z12" s="113"/>
      <c r="AA12" s="113"/>
      <c r="AB12" s="113"/>
      <c r="AC12" s="113"/>
      <c r="AD12" s="114"/>
      <c r="AE12" s="115" t="str">
        <f>IF(OR(N(sch_mh_counseling_vulnerable_muslim_es)&gt;N(Y12),N(sch_mh_counseling_vulnerable_ip_es)&gt;N(Y12),N(sch_mh_counseling_vulnerable_lwd_es)&gt;N(Y12)),"Elementary Error: Total Learners (Item 2) shall not be less than any vulnerable group entry (Item 2.a).","")</f>
        <v/>
      </c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15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</row>
    <row r="13" ht="4" customHeight="1" spans="1:66">
      <c r="A13" s="11"/>
      <c r="C13" s="7"/>
      <c r="D13" s="107"/>
      <c r="E13" s="107"/>
      <c r="F13" s="107"/>
      <c r="G13" s="107"/>
      <c r="H13" s="107"/>
      <c r="I13" s="107"/>
      <c r="J13" s="107"/>
      <c r="K13" s="107"/>
      <c r="L13" s="107"/>
      <c r="M13" s="116"/>
      <c r="N13" s="117"/>
      <c r="O13" s="117"/>
      <c r="P13" s="117"/>
      <c r="Q13" s="117"/>
      <c r="R13" s="118"/>
      <c r="S13" s="116"/>
      <c r="T13" s="117"/>
      <c r="U13" s="117"/>
      <c r="V13" s="117"/>
      <c r="W13" s="117"/>
      <c r="X13" s="119"/>
      <c r="Y13" s="120"/>
      <c r="Z13" s="121"/>
      <c r="AA13" s="121"/>
      <c r="AB13" s="121"/>
      <c r="AC13" s="121"/>
      <c r="AD13" s="122"/>
      <c r="AE13" s="115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15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</row>
    <row r="14" customHeight="1" spans="1:66">
      <c r="A14" s="11"/>
      <c r="C14" s="7"/>
      <c r="D14" s="107" t="s">
        <v>191</v>
      </c>
      <c r="E14" s="107"/>
      <c r="F14" s="107"/>
      <c r="G14" s="107"/>
      <c r="H14" s="107"/>
      <c r="I14" s="107"/>
      <c r="J14" s="107"/>
      <c r="K14" s="107"/>
      <c r="L14" s="107"/>
      <c r="M14" s="108"/>
      <c r="N14" s="109"/>
      <c r="O14" s="109"/>
      <c r="P14" s="109"/>
      <c r="Q14" s="109"/>
      <c r="R14" s="110"/>
      <c r="S14" s="108"/>
      <c r="T14" s="109"/>
      <c r="U14" s="109"/>
      <c r="V14" s="109"/>
      <c r="W14" s="109"/>
      <c r="X14" s="111"/>
      <c r="Y14" s="112">
        <f>SUM(M14:X15)</f>
        <v>0</v>
      </c>
      <c r="Z14" s="113"/>
      <c r="AA14" s="113"/>
      <c r="AB14" s="113"/>
      <c r="AC14" s="113"/>
      <c r="AD14" s="114"/>
      <c r="AE14" s="115" t="str">
        <f>IF(OR(N(sch_mh_counseling_vulnerable_muslim_jhs)&gt;N(Y14),N(sch_mh_counseling_vulnerable_ip_jhs)&gt;N(Y14),N(sch_mh_counseling_vulnerable_lwd_jhs)&gt;N(Y14)),"JHS Error: Total Learners (Item 2) shall not be less than any vulnerable group entry (Item 2.a).","")</f>
        <v/>
      </c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15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</row>
    <row r="15" ht="4" customHeight="1" spans="1:66">
      <c r="A15" s="11"/>
      <c r="C15" s="7"/>
      <c r="D15" s="107"/>
      <c r="E15" s="107"/>
      <c r="F15" s="107"/>
      <c r="G15" s="107"/>
      <c r="H15" s="107"/>
      <c r="I15" s="107"/>
      <c r="J15" s="107"/>
      <c r="K15" s="107"/>
      <c r="L15" s="107"/>
      <c r="M15" s="116"/>
      <c r="N15" s="117"/>
      <c r="O15" s="117"/>
      <c r="P15" s="117"/>
      <c r="Q15" s="117"/>
      <c r="R15" s="118"/>
      <c r="S15" s="116"/>
      <c r="T15" s="117"/>
      <c r="U15" s="117"/>
      <c r="V15" s="117"/>
      <c r="W15" s="117"/>
      <c r="X15" s="119"/>
      <c r="Y15" s="120"/>
      <c r="Z15" s="121"/>
      <c r="AA15" s="121"/>
      <c r="AB15" s="121"/>
      <c r="AC15" s="121"/>
      <c r="AD15" s="122"/>
      <c r="AE15" s="115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15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</row>
    <row r="16" customHeight="1" spans="1:66">
      <c r="A16" s="11"/>
      <c r="C16" s="7"/>
      <c r="D16" s="107" t="s">
        <v>192</v>
      </c>
      <c r="E16" s="107"/>
      <c r="F16" s="107"/>
      <c r="G16" s="107"/>
      <c r="H16" s="107"/>
      <c r="I16" s="107"/>
      <c r="J16" s="107"/>
      <c r="K16" s="107"/>
      <c r="L16" s="107"/>
      <c r="M16" s="108"/>
      <c r="N16" s="109"/>
      <c r="O16" s="109"/>
      <c r="P16" s="109"/>
      <c r="Q16" s="109"/>
      <c r="R16" s="110"/>
      <c r="S16" s="108"/>
      <c r="T16" s="109"/>
      <c r="U16" s="109"/>
      <c r="V16" s="109"/>
      <c r="W16" s="109"/>
      <c r="X16" s="111"/>
      <c r="Y16" s="112">
        <f>SUM(M16:X17)</f>
        <v>0</v>
      </c>
      <c r="Z16" s="113"/>
      <c r="AA16" s="113"/>
      <c r="AB16" s="113"/>
      <c r="AC16" s="113"/>
      <c r="AD16" s="114"/>
      <c r="AE16" s="115" t="str">
        <f>IF(OR(N(sch_mh_counseling_vulnerable_muslim_shs)&gt;N(Y16),N(sch_mh_counseling_vulnerable_ip_shs)&gt;N(Y16),N(sch_mh_counseling_vulnerable_lwd_shs)&gt;N(Y16)),"SHS Error: Total Learners (Item 2) shall not be less than any vulnerable group entry (Item 2.a).","")</f>
        <v/>
      </c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15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</row>
    <row r="17" ht="4" customHeight="1" spans="1:65">
      <c r="A17" s="11"/>
      <c r="C17" s="7"/>
      <c r="D17" s="123"/>
      <c r="E17" s="123"/>
      <c r="F17" s="123"/>
      <c r="G17" s="123"/>
      <c r="H17" s="123"/>
      <c r="I17" s="123"/>
      <c r="J17" s="123"/>
      <c r="K17" s="123"/>
      <c r="L17" s="123"/>
      <c r="M17" s="124"/>
      <c r="N17" s="125"/>
      <c r="O17" s="125"/>
      <c r="P17" s="125"/>
      <c r="Q17" s="125"/>
      <c r="R17" s="126"/>
      <c r="S17" s="124"/>
      <c r="T17" s="125"/>
      <c r="U17" s="125"/>
      <c r="V17" s="125"/>
      <c r="W17" s="125"/>
      <c r="X17" s="127"/>
      <c r="Y17" s="120"/>
      <c r="Z17" s="121"/>
      <c r="AA17" s="121"/>
      <c r="AB17" s="121"/>
      <c r="AC17" s="121"/>
      <c r="AD17" s="122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15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</row>
    <row r="18" customHeight="1" spans="1:65">
      <c r="A18" s="11"/>
      <c r="D18" s="128" t="s">
        <v>54</v>
      </c>
      <c r="E18" s="128"/>
      <c r="F18" s="128"/>
      <c r="G18" s="128"/>
      <c r="H18" s="128"/>
      <c r="I18" s="128"/>
      <c r="J18" s="128"/>
      <c r="K18" s="128"/>
      <c r="L18" s="128"/>
      <c r="M18" s="129">
        <f>SUM(M12:O17)</f>
        <v>0</v>
      </c>
      <c r="N18" s="130"/>
      <c r="O18" s="130"/>
      <c r="P18" s="130"/>
      <c r="Q18" s="130"/>
      <c r="R18" s="131"/>
      <c r="S18" s="129">
        <f>SUM(S12:U17)</f>
        <v>0</v>
      </c>
      <c r="T18" s="130"/>
      <c r="U18" s="130"/>
      <c r="V18" s="130"/>
      <c r="W18" s="130"/>
      <c r="X18" s="132"/>
      <c r="Y18" s="112">
        <f>SUM(M18:X19)</f>
        <v>0</v>
      </c>
      <c r="Z18" s="113"/>
      <c r="AA18" s="113"/>
      <c r="AB18" s="113"/>
      <c r="AC18" s="113"/>
      <c r="AD18" s="114"/>
      <c r="AX18" s="21"/>
    </row>
    <row r="19" ht="4" customHeight="1" spans="1:65">
      <c r="A19" s="11"/>
      <c r="D19" s="104"/>
      <c r="E19" s="104"/>
      <c r="F19" s="104"/>
      <c r="G19" s="104"/>
      <c r="H19" s="104"/>
      <c r="I19" s="104"/>
      <c r="J19" s="104"/>
      <c r="K19" s="104"/>
      <c r="L19" s="104"/>
      <c r="M19" s="133"/>
      <c r="N19" s="121"/>
      <c r="O19" s="121"/>
      <c r="P19" s="121"/>
      <c r="Q19" s="121"/>
      <c r="R19" s="122"/>
      <c r="S19" s="133"/>
      <c r="T19" s="121"/>
      <c r="U19" s="121"/>
      <c r="V19" s="121"/>
      <c r="W19" s="121"/>
      <c r="X19" s="134"/>
      <c r="Y19" s="120"/>
      <c r="Z19" s="121"/>
      <c r="AA19" s="121"/>
      <c r="AB19" s="121"/>
      <c r="AC19" s="121"/>
      <c r="AD19" s="122"/>
      <c r="AX19" s="21"/>
    </row>
    <row r="20" customHeight="1" spans="1:65">
      <c r="A20" s="11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AX20" s="21"/>
    </row>
    <row r="21" customHeight="1" spans="1:65">
      <c r="A21" s="11"/>
      <c r="D21" s="4" t="s">
        <v>209</v>
      </c>
      <c r="AI21" s="13"/>
      <c r="AJ21" s="14"/>
      <c r="AX21" s="21"/>
    </row>
    <row r="22" customHeight="1" spans="1:65">
      <c r="A22" s="11"/>
      <c r="D22" s="104" t="s">
        <v>207</v>
      </c>
      <c r="E22" s="104"/>
      <c r="F22" s="104"/>
      <c r="G22" s="104"/>
      <c r="H22" s="104"/>
      <c r="I22" s="104"/>
      <c r="J22" s="104"/>
      <c r="K22" s="104"/>
      <c r="L22" s="104"/>
      <c r="M22" s="105" t="s">
        <v>208</v>
      </c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6"/>
      <c r="AF22" s="7"/>
      <c r="AG22" s="7"/>
      <c r="AH22" s="7"/>
      <c r="AI22" s="7"/>
      <c r="AJ22" s="7"/>
      <c r="AX22" s="21"/>
    </row>
    <row r="23" customHeight="1" spans="1:65">
      <c r="A23" s="11"/>
      <c r="D23" s="104"/>
      <c r="E23" s="104"/>
      <c r="F23" s="104"/>
      <c r="G23" s="104"/>
      <c r="H23" s="104"/>
      <c r="I23" s="104"/>
      <c r="J23" s="104"/>
      <c r="K23" s="104"/>
      <c r="L23" s="104"/>
      <c r="M23" s="104" t="s">
        <v>210</v>
      </c>
      <c r="N23" s="104"/>
      <c r="O23" s="104"/>
      <c r="P23" s="104"/>
      <c r="Q23" s="104"/>
      <c r="R23" s="104"/>
      <c r="S23" s="104" t="s">
        <v>211</v>
      </c>
      <c r="T23" s="104"/>
      <c r="U23" s="104"/>
      <c r="V23" s="104"/>
      <c r="W23" s="104"/>
      <c r="X23" s="104"/>
      <c r="Y23" s="137" t="s">
        <v>212</v>
      </c>
      <c r="Z23" s="137"/>
      <c r="AA23" s="137"/>
      <c r="AB23" s="137"/>
      <c r="AC23" s="137"/>
      <c r="AD23" s="138"/>
      <c r="AE23" s="139"/>
      <c r="AF23" s="140"/>
      <c r="AG23" s="140"/>
      <c r="AH23" s="140"/>
      <c r="AI23" s="140"/>
      <c r="AJ23" s="140"/>
      <c r="AX23" s="21"/>
    </row>
    <row r="24" customHeight="1" spans="1:65">
      <c r="A24" s="11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37"/>
      <c r="Z24" s="137"/>
      <c r="AA24" s="137"/>
      <c r="AB24" s="137"/>
      <c r="AC24" s="137"/>
      <c r="AD24" s="138"/>
      <c r="AE24" s="139"/>
      <c r="AF24" s="140"/>
      <c r="AG24" s="140"/>
      <c r="AH24" s="140"/>
      <c r="AI24" s="140"/>
      <c r="AJ24" s="140"/>
      <c r="AP24" s="4" t="s">
        <v>213</v>
      </c>
      <c r="AX24" s="21"/>
    </row>
    <row r="25" customHeight="1" spans="1:65">
      <c r="A25" s="11"/>
      <c r="D25" s="107" t="s">
        <v>190</v>
      </c>
      <c r="E25" s="107"/>
      <c r="F25" s="107"/>
      <c r="G25" s="107"/>
      <c r="H25" s="107"/>
      <c r="I25" s="107"/>
      <c r="J25" s="107"/>
      <c r="K25" s="107"/>
      <c r="L25" s="107"/>
      <c r="M25" s="108"/>
      <c r="N25" s="109"/>
      <c r="O25" s="109"/>
      <c r="P25" s="109"/>
      <c r="Q25" s="109"/>
      <c r="R25" s="110"/>
      <c r="S25" s="108"/>
      <c r="T25" s="109"/>
      <c r="U25" s="109"/>
      <c r="V25" s="109"/>
      <c r="W25" s="109"/>
      <c r="X25" s="110"/>
      <c r="Y25" s="108"/>
      <c r="Z25" s="109"/>
      <c r="AA25" s="109"/>
      <c r="AB25" s="109"/>
      <c r="AC25" s="109"/>
      <c r="AD25" s="109"/>
      <c r="AE25" s="141" t="str">
        <f>IF(N(sch_mh_counseling_vulnerable_muslim_es)&gt;N(Y12),"Elementary Error: Muslim learners (Item 2.a) shall not exceed Elementary Total Learners (Item 2).",IF(N(sch_mh_counseling_vulnerable_ip_es)&gt;N(Y12),"Elementary Error: IP learners (Item 2.a) shall not exceed Elementary Total Learners (Item 2).",IF(N(sch_mh_counseling_vulnerable_lwd_es)&gt;N(Y12),"Elementary Error: LWD learners (Item 2.a) shall not exceed Elementary Total Learners (Item 2).","")))</f>
        <v/>
      </c>
      <c r="AF25" s="142"/>
      <c r="AG25" s="142"/>
      <c r="AH25" s="142"/>
      <c r="AI25" s="142"/>
      <c r="AJ25" s="142"/>
      <c r="AX25" s="21"/>
    </row>
    <row r="26" ht="4" customHeight="1" spans="1:65">
      <c r="A26" s="11"/>
      <c r="D26" s="107"/>
      <c r="E26" s="107"/>
      <c r="F26" s="107"/>
      <c r="G26" s="107"/>
      <c r="H26" s="107"/>
      <c r="I26" s="107"/>
      <c r="J26" s="107"/>
      <c r="K26" s="107"/>
      <c r="L26" s="107"/>
      <c r="M26" s="116"/>
      <c r="N26" s="117"/>
      <c r="O26" s="117"/>
      <c r="P26" s="117"/>
      <c r="Q26" s="117"/>
      <c r="R26" s="118"/>
      <c r="S26" s="116"/>
      <c r="T26" s="117"/>
      <c r="U26" s="117"/>
      <c r="V26" s="117"/>
      <c r="W26" s="117"/>
      <c r="X26" s="118"/>
      <c r="Y26" s="116"/>
      <c r="Z26" s="117"/>
      <c r="AA26" s="117"/>
      <c r="AB26" s="117"/>
      <c r="AC26" s="117"/>
      <c r="AD26" s="117"/>
      <c r="AE26" s="141"/>
      <c r="AF26" s="142"/>
      <c r="AG26" s="142"/>
      <c r="AH26" s="142"/>
      <c r="AI26" s="142"/>
      <c r="AJ26" s="142"/>
      <c r="AX26" s="21"/>
    </row>
    <row r="27" customHeight="1" spans="1:65">
      <c r="A27" s="11"/>
      <c r="D27" s="107" t="s">
        <v>191</v>
      </c>
      <c r="E27" s="107"/>
      <c r="F27" s="107"/>
      <c r="G27" s="107"/>
      <c r="H27" s="107"/>
      <c r="I27" s="107"/>
      <c r="J27" s="107"/>
      <c r="K27" s="107"/>
      <c r="L27" s="107"/>
      <c r="M27" s="108"/>
      <c r="N27" s="109"/>
      <c r="O27" s="109"/>
      <c r="P27" s="109"/>
      <c r="Q27" s="109"/>
      <c r="R27" s="110"/>
      <c r="S27" s="108"/>
      <c r="T27" s="109"/>
      <c r="U27" s="109"/>
      <c r="V27" s="109"/>
      <c r="W27" s="109"/>
      <c r="X27" s="110"/>
      <c r="Y27" s="108"/>
      <c r="Z27" s="109"/>
      <c r="AA27" s="109"/>
      <c r="AB27" s="109"/>
      <c r="AC27" s="109"/>
      <c r="AD27" s="109"/>
      <c r="AE27" s="141" t="str">
        <f>IF(N(sch_mh_counseling_vulnerable_muslim_jhs)&gt;N(Y14),"JHS Error: Muslim learners (Item 2.a) shall not exceed JHS Total Learners (Item 2).",IF(N(sch_mh_counseling_vulnerable_ip_jhs)&gt;N(Y14),"JHS Error: IP learners (Item 2.a) shall not exceed JHS Total Learners (Item 2).",IF(N(sch_mh_counseling_vulnerable_lwd_jhs)&gt;N(Y14),"JHS Error: LWD learners (Item 2.a) shall not exceed JHS Total Learners (Item 2).","")))</f>
        <v/>
      </c>
      <c r="AF27" s="142"/>
      <c r="AG27" s="142"/>
      <c r="AH27" s="142"/>
      <c r="AI27" s="142"/>
      <c r="AJ27" s="142"/>
      <c r="AX27" s="21"/>
    </row>
    <row r="28" ht="4" customHeight="1" spans="1:65">
      <c r="A28" s="11"/>
      <c r="D28" s="107"/>
      <c r="E28" s="107"/>
      <c r="F28" s="107"/>
      <c r="G28" s="107"/>
      <c r="H28" s="107"/>
      <c r="I28" s="107"/>
      <c r="J28" s="107"/>
      <c r="K28" s="107"/>
      <c r="L28" s="107"/>
      <c r="M28" s="116"/>
      <c r="N28" s="117"/>
      <c r="O28" s="117"/>
      <c r="P28" s="117"/>
      <c r="Q28" s="117"/>
      <c r="R28" s="118"/>
      <c r="S28" s="116"/>
      <c r="T28" s="117"/>
      <c r="U28" s="117"/>
      <c r="V28" s="117"/>
      <c r="W28" s="117"/>
      <c r="X28" s="118"/>
      <c r="Y28" s="116"/>
      <c r="Z28" s="117"/>
      <c r="AA28" s="117"/>
      <c r="AB28" s="117"/>
      <c r="AC28" s="117"/>
      <c r="AD28" s="117"/>
      <c r="AE28" s="141"/>
      <c r="AF28" s="142"/>
      <c r="AG28" s="142"/>
      <c r="AH28" s="142"/>
      <c r="AI28" s="142"/>
      <c r="AJ28" s="142"/>
      <c r="AX28" s="21"/>
    </row>
    <row r="29" customHeight="1" spans="1:65">
      <c r="A29" s="11"/>
      <c r="D29" s="107" t="s">
        <v>192</v>
      </c>
      <c r="E29" s="107"/>
      <c r="F29" s="107"/>
      <c r="G29" s="107"/>
      <c r="H29" s="107"/>
      <c r="I29" s="107"/>
      <c r="J29" s="107"/>
      <c r="K29" s="107"/>
      <c r="L29" s="107"/>
      <c r="M29" s="108"/>
      <c r="N29" s="109"/>
      <c r="O29" s="109"/>
      <c r="P29" s="109"/>
      <c r="Q29" s="109"/>
      <c r="R29" s="110"/>
      <c r="S29" s="108"/>
      <c r="T29" s="109"/>
      <c r="U29" s="109"/>
      <c r="V29" s="109"/>
      <c r="W29" s="109"/>
      <c r="X29" s="110"/>
      <c r="Y29" s="108"/>
      <c r="Z29" s="109"/>
      <c r="AA29" s="109"/>
      <c r="AB29" s="109"/>
      <c r="AC29" s="109"/>
      <c r="AD29" s="109"/>
      <c r="AE29" s="141" t="str">
        <f>IF(N(sch_mh_counseling_vulnerable_muslim_shs)&gt;N(Y16),"SHS Error: Muslim learners (Item 2.a) shall not exceed SHS Total Learners (Item 2).",IF(N(sch_mh_counseling_vulnerable_ip_shs)&gt;N(Y16),"SHS Error: IP learners (Item 2.a) shall not exceed SHS Total Learners (Item 2).",IF(N(sch_mh_counseling_vulnerable_lwd_shs)&gt;N(Y16),"SHS Error: LWD learners (Item 2.a) shall not exceed SHS Total Learners (Item 2).","")))</f>
        <v/>
      </c>
      <c r="AF29" s="142"/>
      <c r="AG29" s="142"/>
      <c r="AH29" s="142"/>
      <c r="AI29" s="142"/>
      <c r="AJ29" s="142"/>
      <c r="AX29" s="21"/>
    </row>
    <row r="30" ht="4" customHeight="1" spans="1:65">
      <c r="A30" s="11"/>
      <c r="D30" s="123"/>
      <c r="E30" s="123"/>
      <c r="F30" s="123"/>
      <c r="G30" s="123"/>
      <c r="H30" s="123"/>
      <c r="I30" s="123"/>
      <c r="J30" s="123"/>
      <c r="K30" s="123"/>
      <c r="L30" s="123"/>
      <c r="M30" s="116"/>
      <c r="N30" s="117"/>
      <c r="O30" s="117"/>
      <c r="P30" s="117"/>
      <c r="Q30" s="117"/>
      <c r="R30" s="118"/>
      <c r="S30" s="116"/>
      <c r="T30" s="117"/>
      <c r="U30" s="117"/>
      <c r="V30" s="117"/>
      <c r="W30" s="117"/>
      <c r="X30" s="118"/>
      <c r="Y30" s="116"/>
      <c r="Z30" s="117"/>
      <c r="AA30" s="117"/>
      <c r="AB30" s="117"/>
      <c r="AC30" s="117"/>
      <c r="AD30" s="117"/>
      <c r="AE30" s="143"/>
      <c r="AF30" s="144"/>
      <c r="AG30" s="144"/>
      <c r="AH30" s="144"/>
      <c r="AI30" s="144"/>
      <c r="AJ30" s="144"/>
      <c r="AX30" s="21"/>
    </row>
    <row r="31" customHeight="1" spans="1:65">
      <c r="A31" s="11"/>
      <c r="D31" s="145" t="s">
        <v>54</v>
      </c>
      <c r="E31" s="146"/>
      <c r="F31" s="146"/>
      <c r="G31" s="146"/>
      <c r="H31" s="146"/>
      <c r="I31" s="146"/>
      <c r="J31" s="146"/>
      <c r="K31" s="146"/>
      <c r="L31" s="147"/>
      <c r="M31" s="129">
        <f>SUM(M25:R30)</f>
        <v>0</v>
      </c>
      <c r="N31" s="130"/>
      <c r="O31" s="130"/>
      <c r="P31" s="130"/>
      <c r="Q31" s="130"/>
      <c r="R31" s="131"/>
      <c r="S31" s="129">
        <f>SUM(S25:X30)</f>
        <v>0</v>
      </c>
      <c r="T31" s="130"/>
      <c r="U31" s="130"/>
      <c r="V31" s="130"/>
      <c r="W31" s="130"/>
      <c r="X31" s="131"/>
      <c r="Y31" s="129">
        <f>SUM(Y25:AD30)</f>
        <v>0</v>
      </c>
      <c r="Z31" s="130"/>
      <c r="AA31" s="130"/>
      <c r="AB31" s="130"/>
      <c r="AC31" s="130"/>
      <c r="AD31" s="130"/>
      <c r="AE31" s="143"/>
      <c r="AF31" s="144"/>
      <c r="AG31" s="144"/>
      <c r="AH31" s="144"/>
      <c r="AI31" s="144"/>
      <c r="AJ31" s="144"/>
      <c r="AX31" s="21"/>
    </row>
    <row r="32" ht="4" customHeight="1" spans="1:65">
      <c r="A32" s="11"/>
      <c r="D32" s="148"/>
      <c r="E32" s="149"/>
      <c r="F32" s="149"/>
      <c r="G32" s="149"/>
      <c r="H32" s="149"/>
      <c r="I32" s="149"/>
      <c r="J32" s="149"/>
      <c r="K32" s="149"/>
      <c r="L32" s="150"/>
      <c r="M32" s="133"/>
      <c r="N32" s="121"/>
      <c r="O32" s="121"/>
      <c r="P32" s="121"/>
      <c r="Q32" s="121"/>
      <c r="R32" s="122"/>
      <c r="S32" s="133"/>
      <c r="T32" s="121"/>
      <c r="U32" s="121"/>
      <c r="V32" s="121"/>
      <c r="W32" s="121"/>
      <c r="X32" s="122"/>
      <c r="Y32" s="133"/>
      <c r="Z32" s="121"/>
      <c r="AA32" s="121"/>
      <c r="AB32" s="121"/>
      <c r="AC32" s="121"/>
      <c r="AD32" s="121"/>
      <c r="AE32" s="143"/>
      <c r="AF32" s="144"/>
      <c r="AG32" s="144"/>
      <c r="AH32" s="144"/>
      <c r="AI32" s="144"/>
      <c r="AJ32" s="144"/>
      <c r="AX32" s="21"/>
    </row>
    <row r="33" customHeight="1" spans="1:50">
      <c r="A33" s="11"/>
      <c r="AI33" s="13"/>
      <c r="AJ33" s="151"/>
      <c r="AX33" s="21"/>
    </row>
    <row r="34" customHeight="1" spans="1:50">
      <c r="A34" s="11"/>
      <c r="C34" s="4" t="s">
        <v>214</v>
      </c>
      <c r="AJ34" s="37" t="b">
        <v>0</v>
      </c>
      <c r="AK34" s="19" t="s">
        <v>150</v>
      </c>
      <c r="AL34" s="19"/>
      <c r="AX34" s="21"/>
    </row>
    <row r="35" ht="4" customHeight="1" spans="1:50">
      <c r="A35" s="11"/>
      <c r="AI35" s="13"/>
      <c r="AJ35" s="14"/>
      <c r="AX35" s="21"/>
    </row>
    <row r="36" customHeight="1" spans="1:50">
      <c r="A36" s="11"/>
      <c r="D36" s="4" t="s">
        <v>215</v>
      </c>
      <c r="AI36" s="13"/>
      <c r="AJ36" s="14"/>
      <c r="AX36" s="21"/>
    </row>
    <row r="37" ht="4" customHeight="1" spans="1:50">
      <c r="A37" s="11"/>
      <c r="AI37" s="13"/>
      <c r="AJ37" s="14"/>
      <c r="AX37" s="21"/>
    </row>
    <row r="38" customHeight="1" spans="1:50">
      <c r="A38" s="11"/>
      <c r="D38" s="104" t="s">
        <v>207</v>
      </c>
      <c r="E38" s="104"/>
      <c r="F38" s="104"/>
      <c r="G38" s="104"/>
      <c r="H38" s="104"/>
      <c r="I38" s="104"/>
      <c r="J38" s="104"/>
      <c r="K38" s="104"/>
      <c r="L38" s="104"/>
      <c r="M38" s="104" t="s">
        <v>216</v>
      </c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X38" s="21"/>
    </row>
    <row r="39" customHeight="1" spans="1:50">
      <c r="A39" s="11"/>
      <c r="D39" s="104"/>
      <c r="E39" s="104"/>
      <c r="F39" s="104"/>
      <c r="G39" s="104"/>
      <c r="H39" s="104"/>
      <c r="I39" s="104"/>
      <c r="J39" s="104"/>
      <c r="K39" s="104"/>
      <c r="L39" s="104"/>
      <c r="M39" s="137" t="s">
        <v>217</v>
      </c>
      <c r="N39" s="137"/>
      <c r="O39" s="137"/>
      <c r="P39" s="137"/>
      <c r="Q39" s="137"/>
      <c r="R39" s="137"/>
      <c r="S39" s="137" t="s">
        <v>218</v>
      </c>
      <c r="T39" s="137"/>
      <c r="U39" s="137"/>
      <c r="V39" s="137"/>
      <c r="W39" s="137"/>
      <c r="X39" s="137"/>
      <c r="Y39" s="104" t="s">
        <v>219</v>
      </c>
      <c r="Z39" s="104"/>
      <c r="AA39" s="104"/>
      <c r="AB39" s="104"/>
      <c r="AC39" s="104"/>
      <c r="AD39" s="104"/>
      <c r="AE39" s="104" t="s">
        <v>220</v>
      </c>
      <c r="AF39" s="104"/>
      <c r="AG39" s="104"/>
      <c r="AH39" s="104"/>
      <c r="AI39" s="104"/>
      <c r="AJ39" s="104"/>
      <c r="AK39" s="137" t="s">
        <v>221</v>
      </c>
      <c r="AL39" s="137"/>
      <c r="AM39" s="137"/>
      <c r="AN39" s="137"/>
      <c r="AO39" s="137"/>
      <c r="AP39" s="137"/>
      <c r="AQ39" s="137" t="s">
        <v>222</v>
      </c>
      <c r="AR39" s="137"/>
      <c r="AS39" s="137"/>
      <c r="AT39" s="137"/>
      <c r="AU39" s="137"/>
      <c r="AV39" s="137"/>
      <c r="AW39" s="140"/>
      <c r="AX39" s="21"/>
    </row>
    <row r="40" customHeight="1" spans="1:50">
      <c r="A40" s="11"/>
      <c r="D40" s="104"/>
      <c r="E40" s="104"/>
      <c r="F40" s="104"/>
      <c r="G40" s="104"/>
      <c r="H40" s="104"/>
      <c r="I40" s="104"/>
      <c r="J40" s="104"/>
      <c r="K40" s="104"/>
      <c r="L40" s="104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40"/>
      <c r="AX40" s="21"/>
    </row>
    <row r="41" customHeight="1" spans="1:50">
      <c r="A41" s="11"/>
      <c r="D41" s="104"/>
      <c r="E41" s="104"/>
      <c r="F41" s="104"/>
      <c r="G41" s="104"/>
      <c r="H41" s="104"/>
      <c r="I41" s="104"/>
      <c r="J41" s="104"/>
      <c r="K41" s="104"/>
      <c r="L41" s="104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40"/>
      <c r="AX41" s="21"/>
    </row>
    <row r="42" customHeight="1" spans="1:50">
      <c r="A42" s="11"/>
      <c r="D42" s="104"/>
      <c r="E42" s="104"/>
      <c r="F42" s="104"/>
      <c r="G42" s="104"/>
      <c r="H42" s="104"/>
      <c r="I42" s="104"/>
      <c r="J42" s="104"/>
      <c r="K42" s="104"/>
      <c r="L42" s="104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40"/>
      <c r="AX42" s="21"/>
    </row>
    <row r="43" customHeight="1" spans="1:50">
      <c r="A43" s="11"/>
      <c r="D43" s="104"/>
      <c r="E43" s="104"/>
      <c r="F43" s="104"/>
      <c r="G43" s="104"/>
      <c r="H43" s="104"/>
      <c r="I43" s="104"/>
      <c r="J43" s="104"/>
      <c r="K43" s="104"/>
      <c r="L43" s="104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40"/>
      <c r="AX43" s="21"/>
    </row>
    <row r="44" customHeight="1" spans="1:50">
      <c r="A44" s="11"/>
      <c r="D44" s="107" t="s">
        <v>190</v>
      </c>
      <c r="E44" s="107"/>
      <c r="F44" s="107"/>
      <c r="G44" s="107"/>
      <c r="H44" s="107"/>
      <c r="I44" s="107"/>
      <c r="J44" s="107"/>
      <c r="K44" s="107"/>
      <c r="L44" s="107"/>
      <c r="M44" s="108"/>
      <c r="N44" s="109"/>
      <c r="O44" s="109"/>
      <c r="P44" s="109"/>
      <c r="Q44" s="109"/>
      <c r="R44" s="110"/>
      <c r="S44" s="108"/>
      <c r="T44" s="109"/>
      <c r="U44" s="109"/>
      <c r="V44" s="109"/>
      <c r="W44" s="109"/>
      <c r="X44" s="110"/>
      <c r="Y44" s="108"/>
      <c r="Z44" s="109"/>
      <c r="AA44" s="109"/>
      <c r="AB44" s="109"/>
      <c r="AC44" s="109"/>
      <c r="AD44" s="110"/>
      <c r="AE44" s="108"/>
      <c r="AF44" s="109"/>
      <c r="AG44" s="109"/>
      <c r="AH44" s="109"/>
      <c r="AI44" s="109"/>
      <c r="AJ44" s="110"/>
      <c r="AK44" s="108"/>
      <c r="AL44" s="109"/>
      <c r="AM44" s="109"/>
      <c r="AN44" s="109"/>
      <c r="AO44" s="109"/>
      <c r="AP44" s="110"/>
      <c r="AQ44" s="108"/>
      <c r="AR44" s="109"/>
      <c r="AS44" s="109"/>
      <c r="AT44" s="109"/>
      <c r="AU44" s="109"/>
      <c r="AV44" s="110"/>
      <c r="AW44" s="152"/>
      <c r="AX44" s="21"/>
    </row>
    <row r="45" ht="4" customHeight="1" spans="1:50">
      <c r="A45" s="11"/>
      <c r="D45" s="107"/>
      <c r="E45" s="107"/>
      <c r="F45" s="107"/>
      <c r="G45" s="107"/>
      <c r="H45" s="107"/>
      <c r="I45" s="107"/>
      <c r="J45" s="107"/>
      <c r="K45" s="107"/>
      <c r="L45" s="107"/>
      <c r="M45" s="116"/>
      <c r="N45" s="117"/>
      <c r="O45" s="117"/>
      <c r="P45" s="117"/>
      <c r="Q45" s="117"/>
      <c r="R45" s="118"/>
      <c r="S45" s="116"/>
      <c r="T45" s="117"/>
      <c r="U45" s="117"/>
      <c r="V45" s="117"/>
      <c r="W45" s="117"/>
      <c r="X45" s="118"/>
      <c r="Y45" s="116"/>
      <c r="Z45" s="117"/>
      <c r="AA45" s="117"/>
      <c r="AB45" s="117"/>
      <c r="AC45" s="117"/>
      <c r="AD45" s="118"/>
      <c r="AE45" s="116"/>
      <c r="AF45" s="117"/>
      <c r="AG45" s="117"/>
      <c r="AH45" s="117"/>
      <c r="AI45" s="117"/>
      <c r="AJ45" s="118"/>
      <c r="AK45" s="116"/>
      <c r="AL45" s="117"/>
      <c r="AM45" s="117"/>
      <c r="AN45" s="117"/>
      <c r="AO45" s="117"/>
      <c r="AP45" s="118"/>
      <c r="AQ45" s="116"/>
      <c r="AR45" s="117"/>
      <c r="AS45" s="117"/>
      <c r="AT45" s="117"/>
      <c r="AU45" s="117"/>
      <c r="AV45" s="118"/>
      <c r="AW45" s="152"/>
      <c r="AX45" s="21"/>
    </row>
    <row r="46" customHeight="1" spans="1:50">
      <c r="A46" s="11"/>
      <c r="D46" s="107" t="s">
        <v>191</v>
      </c>
      <c r="E46" s="107"/>
      <c r="F46" s="107"/>
      <c r="G46" s="107"/>
      <c r="H46" s="107"/>
      <c r="I46" s="107"/>
      <c r="J46" s="107"/>
      <c r="K46" s="107"/>
      <c r="L46" s="107"/>
      <c r="M46" s="108"/>
      <c r="N46" s="109"/>
      <c r="O46" s="109"/>
      <c r="P46" s="109"/>
      <c r="Q46" s="109"/>
      <c r="R46" s="110"/>
      <c r="S46" s="108"/>
      <c r="T46" s="109"/>
      <c r="U46" s="109"/>
      <c r="V46" s="109"/>
      <c r="W46" s="109"/>
      <c r="X46" s="110"/>
      <c r="Y46" s="108"/>
      <c r="Z46" s="109"/>
      <c r="AA46" s="109"/>
      <c r="AB46" s="109"/>
      <c r="AC46" s="109"/>
      <c r="AD46" s="110"/>
      <c r="AE46" s="108"/>
      <c r="AF46" s="109"/>
      <c r="AG46" s="109"/>
      <c r="AH46" s="109"/>
      <c r="AI46" s="109"/>
      <c r="AJ46" s="110"/>
      <c r="AK46" s="108"/>
      <c r="AL46" s="109"/>
      <c r="AM46" s="109"/>
      <c r="AN46" s="109"/>
      <c r="AO46" s="109"/>
      <c r="AP46" s="110"/>
      <c r="AQ46" s="108"/>
      <c r="AR46" s="109"/>
      <c r="AS46" s="109"/>
      <c r="AT46" s="109"/>
      <c r="AU46" s="109"/>
      <c r="AV46" s="110"/>
      <c r="AW46" s="152"/>
      <c r="AX46" s="21"/>
    </row>
    <row r="47" ht="4" customHeight="1" spans="1:50">
      <c r="A47" s="11"/>
      <c r="D47" s="107"/>
      <c r="E47" s="107"/>
      <c r="F47" s="107"/>
      <c r="G47" s="107"/>
      <c r="H47" s="107"/>
      <c r="I47" s="107"/>
      <c r="J47" s="107"/>
      <c r="K47" s="107"/>
      <c r="L47" s="107"/>
      <c r="M47" s="116"/>
      <c r="N47" s="117"/>
      <c r="O47" s="117"/>
      <c r="P47" s="117"/>
      <c r="Q47" s="117"/>
      <c r="R47" s="118"/>
      <c r="S47" s="116"/>
      <c r="T47" s="117"/>
      <c r="U47" s="117"/>
      <c r="V47" s="117"/>
      <c r="W47" s="117"/>
      <c r="X47" s="118"/>
      <c r="Y47" s="116"/>
      <c r="Z47" s="117"/>
      <c r="AA47" s="117"/>
      <c r="AB47" s="117"/>
      <c r="AC47" s="117"/>
      <c r="AD47" s="118"/>
      <c r="AE47" s="116"/>
      <c r="AF47" s="117"/>
      <c r="AG47" s="117"/>
      <c r="AH47" s="117"/>
      <c r="AI47" s="117"/>
      <c r="AJ47" s="118"/>
      <c r="AK47" s="116"/>
      <c r="AL47" s="117"/>
      <c r="AM47" s="117"/>
      <c r="AN47" s="117"/>
      <c r="AO47" s="117"/>
      <c r="AP47" s="118"/>
      <c r="AQ47" s="116"/>
      <c r="AR47" s="117"/>
      <c r="AS47" s="117"/>
      <c r="AT47" s="117"/>
      <c r="AU47" s="117"/>
      <c r="AV47" s="118"/>
      <c r="AW47" s="152"/>
      <c r="AX47" s="21"/>
    </row>
    <row r="48" customHeight="1" spans="1:50">
      <c r="A48" s="11"/>
      <c r="D48" s="107" t="s">
        <v>192</v>
      </c>
      <c r="E48" s="107"/>
      <c r="F48" s="107"/>
      <c r="G48" s="107"/>
      <c r="H48" s="107"/>
      <c r="I48" s="107"/>
      <c r="J48" s="107"/>
      <c r="K48" s="107"/>
      <c r="L48" s="107"/>
      <c r="M48" s="108"/>
      <c r="N48" s="109"/>
      <c r="O48" s="109"/>
      <c r="P48" s="109"/>
      <c r="Q48" s="109"/>
      <c r="R48" s="110"/>
      <c r="S48" s="108"/>
      <c r="T48" s="109"/>
      <c r="U48" s="109"/>
      <c r="V48" s="109"/>
      <c r="W48" s="109"/>
      <c r="X48" s="110"/>
      <c r="Y48" s="108"/>
      <c r="Z48" s="109"/>
      <c r="AA48" s="109"/>
      <c r="AB48" s="109"/>
      <c r="AC48" s="109"/>
      <c r="AD48" s="110"/>
      <c r="AE48" s="108"/>
      <c r="AF48" s="109"/>
      <c r="AG48" s="109"/>
      <c r="AH48" s="109"/>
      <c r="AI48" s="109"/>
      <c r="AJ48" s="110"/>
      <c r="AK48" s="108"/>
      <c r="AL48" s="109"/>
      <c r="AM48" s="109"/>
      <c r="AN48" s="109"/>
      <c r="AO48" s="109"/>
      <c r="AP48" s="110"/>
      <c r="AQ48" s="108"/>
      <c r="AR48" s="109"/>
      <c r="AS48" s="109"/>
      <c r="AT48" s="109"/>
      <c r="AU48" s="109"/>
      <c r="AV48" s="110"/>
      <c r="AW48" s="152"/>
      <c r="AX48" s="21"/>
    </row>
    <row r="49" ht="4" customHeight="1" spans="1:66">
      <c r="A49" s="11"/>
      <c r="D49" s="123"/>
      <c r="E49" s="123"/>
      <c r="F49" s="123"/>
      <c r="G49" s="123"/>
      <c r="H49" s="123"/>
      <c r="I49" s="123"/>
      <c r="J49" s="123"/>
      <c r="K49" s="123"/>
      <c r="L49" s="123"/>
      <c r="M49" s="116"/>
      <c r="N49" s="117"/>
      <c r="O49" s="117"/>
      <c r="P49" s="117"/>
      <c r="Q49" s="117"/>
      <c r="R49" s="118"/>
      <c r="S49" s="116"/>
      <c r="T49" s="117"/>
      <c r="U49" s="117"/>
      <c r="V49" s="117"/>
      <c r="W49" s="117"/>
      <c r="X49" s="118"/>
      <c r="Y49" s="116"/>
      <c r="Z49" s="117"/>
      <c r="AA49" s="117"/>
      <c r="AB49" s="117"/>
      <c r="AC49" s="117"/>
      <c r="AD49" s="118"/>
      <c r="AE49" s="116"/>
      <c r="AF49" s="117"/>
      <c r="AG49" s="117"/>
      <c r="AH49" s="117"/>
      <c r="AI49" s="117"/>
      <c r="AJ49" s="118"/>
      <c r="AK49" s="116"/>
      <c r="AL49" s="117"/>
      <c r="AM49" s="117"/>
      <c r="AN49" s="117"/>
      <c r="AO49" s="117"/>
      <c r="AP49" s="118"/>
      <c r="AQ49" s="116"/>
      <c r="AR49" s="117"/>
      <c r="AS49" s="117"/>
      <c r="AT49" s="117"/>
      <c r="AU49" s="117"/>
      <c r="AV49" s="118"/>
      <c r="AW49" s="152"/>
      <c r="AX49" s="21"/>
    </row>
    <row r="50" customHeight="1" spans="1:66">
      <c r="A50" s="77"/>
      <c r="B50" s="7"/>
      <c r="D50" s="145" t="s">
        <v>54</v>
      </c>
      <c r="E50" s="146"/>
      <c r="F50" s="146"/>
      <c r="G50" s="146"/>
      <c r="H50" s="146"/>
      <c r="I50" s="146"/>
      <c r="J50" s="146"/>
      <c r="K50" s="146"/>
      <c r="L50" s="147"/>
      <c r="M50" s="129">
        <f>SUM(M44:R49)</f>
        <v>0</v>
      </c>
      <c r="N50" s="130"/>
      <c r="O50" s="130"/>
      <c r="P50" s="130"/>
      <c r="Q50" s="130"/>
      <c r="R50" s="131"/>
      <c r="S50" s="129">
        <f>SUM(S44:X49)</f>
        <v>0</v>
      </c>
      <c r="T50" s="130"/>
      <c r="U50" s="130"/>
      <c r="V50" s="130"/>
      <c r="W50" s="130"/>
      <c r="X50" s="131"/>
      <c r="Y50" s="129">
        <f>SUM(Y44:AD49)</f>
        <v>0</v>
      </c>
      <c r="Z50" s="130"/>
      <c r="AA50" s="130"/>
      <c r="AB50" s="130"/>
      <c r="AC50" s="130"/>
      <c r="AD50" s="131"/>
      <c r="AE50" s="129">
        <f>SUM(AE44:AJ49)</f>
        <v>0</v>
      </c>
      <c r="AF50" s="130"/>
      <c r="AG50" s="130"/>
      <c r="AH50" s="130"/>
      <c r="AI50" s="130"/>
      <c r="AJ50" s="131"/>
      <c r="AK50" s="129">
        <f>SUM(AK44:AP49)</f>
        <v>0</v>
      </c>
      <c r="AL50" s="130"/>
      <c r="AM50" s="130"/>
      <c r="AN50" s="130"/>
      <c r="AO50" s="130"/>
      <c r="AP50" s="131"/>
      <c r="AQ50" s="129">
        <f>SUM(AQ44:AV49)</f>
        <v>0</v>
      </c>
      <c r="AR50" s="130"/>
      <c r="AS50" s="130"/>
      <c r="AT50" s="130"/>
      <c r="AU50" s="130"/>
      <c r="AV50" s="131"/>
      <c r="AW50" s="152"/>
      <c r="AX50" s="21"/>
    </row>
    <row r="51" ht="4" customHeight="1" spans="1:66">
      <c r="A51" s="77"/>
      <c r="B51" s="7"/>
      <c r="D51" s="148"/>
      <c r="E51" s="149"/>
      <c r="F51" s="149"/>
      <c r="G51" s="149"/>
      <c r="H51" s="149"/>
      <c r="I51" s="149"/>
      <c r="J51" s="149"/>
      <c r="K51" s="149"/>
      <c r="L51" s="150"/>
      <c r="M51" s="133"/>
      <c r="N51" s="121"/>
      <c r="O51" s="121"/>
      <c r="P51" s="121"/>
      <c r="Q51" s="121"/>
      <c r="R51" s="122"/>
      <c r="S51" s="133"/>
      <c r="T51" s="121"/>
      <c r="U51" s="121"/>
      <c r="V51" s="121"/>
      <c r="W51" s="121"/>
      <c r="X51" s="122"/>
      <c r="Y51" s="133"/>
      <c r="Z51" s="121"/>
      <c r="AA51" s="121"/>
      <c r="AB51" s="121"/>
      <c r="AC51" s="121"/>
      <c r="AD51" s="122"/>
      <c r="AE51" s="133"/>
      <c r="AF51" s="121"/>
      <c r="AG51" s="121"/>
      <c r="AH51" s="121"/>
      <c r="AI51" s="121"/>
      <c r="AJ51" s="122"/>
      <c r="AK51" s="133"/>
      <c r="AL51" s="121"/>
      <c r="AM51" s="121"/>
      <c r="AN51" s="121"/>
      <c r="AO51" s="121"/>
      <c r="AP51" s="122"/>
      <c r="AQ51" s="133"/>
      <c r="AR51" s="121"/>
      <c r="AS51" s="121"/>
      <c r="AT51" s="121"/>
      <c r="AU51" s="121"/>
      <c r="AV51" s="122"/>
      <c r="AW51" s="152"/>
      <c r="AX51" s="21"/>
    </row>
    <row r="52" ht="4" customHeight="1" spans="1:66">
      <c r="A52" s="28"/>
      <c r="B52" s="59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1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</row>
    <row r="53" ht="4" customHeight="1"/>
    <row r="54" customHeight="1" spans="1:66">
      <c r="C54" s="153" t="s">
        <v>223</v>
      </c>
      <c r="D54" s="153"/>
      <c r="E54" s="153"/>
      <c r="F54" s="153"/>
      <c r="G54" s="153" t="s">
        <v>224</v>
      </c>
    </row>
    <row r="55" customHeight="1" spans="1:66">
      <c r="C55" s="153"/>
      <c r="D55" s="153"/>
      <c r="E55" s="153"/>
      <c r="F55" s="153"/>
      <c r="G55" s="153" t="s">
        <v>225</v>
      </c>
    </row>
  </sheetData>
  <protectedRanges>
    <protectedRange sqref="U6 M12:X17 M25:AD30 AJ34 M44:AV49" name="IX. Box 4"/>
  </protectedRanges>
  <mergeCells count="80">
    <mergeCell ref="M10:AD10"/>
    <mergeCell ref="M11:R11"/>
    <mergeCell ref="S11:X11"/>
    <mergeCell ref="Y11:AD11"/>
    <mergeCell ref="M22:AD22"/>
    <mergeCell ref="M38:AV38"/>
    <mergeCell ref="D10:L11"/>
    <mergeCell ref="D12:L13"/>
    <mergeCell ref="M12:R13"/>
    <mergeCell ref="S12:X13"/>
    <mergeCell ref="Y12:AD13"/>
    <mergeCell ref="D14:L15"/>
    <mergeCell ref="M14:R15"/>
    <mergeCell ref="S14:X15"/>
    <mergeCell ref="Y14:AD15"/>
    <mergeCell ref="D16:L17"/>
    <mergeCell ref="M16:R17"/>
    <mergeCell ref="S16:X17"/>
    <mergeCell ref="Y16:AD17"/>
    <mergeCell ref="D18:L19"/>
    <mergeCell ref="M18:R19"/>
    <mergeCell ref="S18:X19"/>
    <mergeCell ref="Y18:AD19"/>
    <mergeCell ref="D22:L24"/>
    <mergeCell ref="M23:R24"/>
    <mergeCell ref="S23:X24"/>
    <mergeCell ref="Y23:AD24"/>
    <mergeCell ref="AE23:AJ24"/>
    <mergeCell ref="D25:L26"/>
    <mergeCell ref="M25:R26"/>
    <mergeCell ref="S25:X26"/>
    <mergeCell ref="Y25:AD26"/>
    <mergeCell ref="D27:L28"/>
    <mergeCell ref="M27:R28"/>
    <mergeCell ref="S27:X28"/>
    <mergeCell ref="Y27:AD28"/>
    <mergeCell ref="D29:L30"/>
    <mergeCell ref="M29:R30"/>
    <mergeCell ref="S29:X30"/>
    <mergeCell ref="Y29:AD30"/>
    <mergeCell ref="D31:L32"/>
    <mergeCell ref="M31:R32"/>
    <mergeCell ref="S31:X32"/>
    <mergeCell ref="Y31:AD32"/>
    <mergeCell ref="AE31:AJ32"/>
    <mergeCell ref="D38:L43"/>
    <mergeCell ref="M39:R43"/>
    <mergeCell ref="S39:X43"/>
    <mergeCell ref="Y39:AD43"/>
    <mergeCell ref="AE39:AJ43"/>
    <mergeCell ref="AK39:AP43"/>
    <mergeCell ref="AQ39:AV43"/>
    <mergeCell ref="D44:L45"/>
    <mergeCell ref="M44:R45"/>
    <mergeCell ref="S44:X45"/>
    <mergeCell ref="Y44:AD45"/>
    <mergeCell ref="AE44:AJ45"/>
    <mergeCell ref="AK44:AP45"/>
    <mergeCell ref="AQ44:AV45"/>
    <mergeCell ref="D46:L47"/>
    <mergeCell ref="M46:R47"/>
    <mergeCell ref="S46:X47"/>
    <mergeCell ref="Y46:AD47"/>
    <mergeCell ref="AE46:AJ47"/>
    <mergeCell ref="AK46:AP47"/>
    <mergeCell ref="AQ46:AV47"/>
    <mergeCell ref="D48:L49"/>
    <mergeCell ref="M48:R49"/>
    <mergeCell ref="S48:X49"/>
    <mergeCell ref="Y48:AD49"/>
    <mergeCell ref="AE48:AJ49"/>
    <mergeCell ref="AK48:AP49"/>
    <mergeCell ref="AQ48:AV49"/>
    <mergeCell ref="D50:L51"/>
    <mergeCell ref="M50:R51"/>
    <mergeCell ref="S50:X51"/>
    <mergeCell ref="Y50:AD51"/>
    <mergeCell ref="AE50:AJ51"/>
    <mergeCell ref="AK50:AP51"/>
    <mergeCell ref="AQ50:AV51"/>
  </mergeCells>
  <dataValidations count="2">
    <dataValidation type="whole" operator="between" allowBlank="1" showInputMessage="1" showErrorMessage="1" errorTitle="GSP SY 2025-2026" error="Please enter a valid number from 0 to 20,000." sqref="M12:X17 M25:AD30">
      <formula1>0</formula1>
      <formula2>20000</formula2>
    </dataValidation>
    <dataValidation type="whole" operator="between" allowBlank="1" showInputMessage="1" showErrorMessage="1" errorTitle="GSP SY 2025-2026" error="Please enter a valid number from 0 to 999." sqref="M44:AV49">
      <formula1>0</formula1>
      <formula2>999</formula2>
    </dataValidation>
  </dataValidations>
  <printOptions horizontalCentered="1"/>
  <pageMargins left="0.15748031496063" right="0.15748031496063" top="0.15748031496063" bottom="0.31496062992126" header="0.31496062992126" footer="0.15748031496063"/>
  <pageSetup paperSize="9" scale="115" orientation="landscape"/>
  <headerFooter>
    <oddFooter>&amp;LGSP, SY 2025-2026&amp;RPage 52 of 85</oddFooter>
  </headerFooter>
  <colBreaks count="1" manualBreakCount="1">
    <brk id="70" max="44" man="1"/>
  </colBreak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name="Check Box 1" r:id="rId3">
              <controlPr defaultSize="0">
                <anchor moveWithCells="1">
                  <from>
                    <xdr:col>19</xdr:col>
                    <xdr:colOff>133350</xdr:colOff>
                    <xdr:row>4</xdr:row>
                    <xdr:rowOff>12700</xdr:rowOff>
                  </from>
                  <to>
                    <xdr:col>21</xdr:col>
                    <xdr:colOff>50800</xdr:colOff>
                    <xdr:row>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name="Check Box 2" r:id="rId4">
              <controlPr defaultSize="0">
                <anchor moveWithCells="1">
                  <from>
                    <xdr:col>34</xdr:col>
                    <xdr:colOff>146050</xdr:colOff>
                    <xdr:row>32</xdr:row>
                    <xdr:rowOff>114300</xdr:rowOff>
                  </from>
                  <to>
                    <xdr:col>36</xdr:col>
                    <xdr:colOff>57150</xdr:colOff>
                    <xdr:row>34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F09A"/>
  </sheetPr>
  <dimension ref="A1:BC55"/>
  <sheetViews>
    <sheetView view="pageBreakPreview" zoomScaleNormal="100" workbookViewId="0">
      <selection activeCell="N12" sqref="N12"/>
    </sheetView>
  </sheetViews>
  <sheetFormatPr defaultColWidth="2.18181818181818" defaultRowHeight="12" customHeight="1"/>
  <cols>
    <col min="1" max="2" width="0.272727272727273" style="2" customWidth="1"/>
    <col min="3" max="6" width="2.18181818181818" style="2"/>
    <col min="7" max="8" width="2.18181818181818" style="2" customWidth="1"/>
    <col min="9" max="15" width="2.27272727272727" style="2" customWidth="1"/>
    <col min="16" max="16" width="2.45454545454545" style="2" customWidth="1"/>
    <col min="17" max="18" width="2.27272727272727" style="2" customWidth="1"/>
    <col min="19" max="19" width="2.45454545454545" style="2" customWidth="1"/>
    <col min="20" max="21" width="2.27272727272727" style="2" customWidth="1"/>
    <col min="22" max="22" width="2.45454545454545" style="2" customWidth="1"/>
    <col min="23" max="24" width="2.27272727272727" style="2" customWidth="1"/>
    <col min="25" max="25" width="2.45454545454545" style="2" customWidth="1"/>
    <col min="26" max="27" width="2.27272727272727" style="2" customWidth="1"/>
    <col min="28" max="28" width="2.45454545454545" style="2" customWidth="1"/>
    <col min="29" max="30" width="2.27272727272727" style="2" customWidth="1"/>
    <col min="31" max="31" width="2.45454545454545" style="2" customWidth="1"/>
    <col min="32" max="33" width="2.27272727272727" style="2" customWidth="1"/>
    <col min="34" max="34" width="2.45454545454545" style="2" customWidth="1"/>
    <col min="35" max="36" width="2.27272727272727" style="2" customWidth="1"/>
    <col min="37" max="37" width="2.45454545454545" style="2" customWidth="1"/>
    <col min="38" max="39" width="2.27272727272727" style="2" customWidth="1"/>
    <col min="40" max="40" width="2.45454545454545" style="2" customWidth="1"/>
    <col min="41" max="42" width="2.27272727272727" style="2" customWidth="1"/>
    <col min="43" max="43" width="2.45454545454545" style="2" customWidth="1"/>
    <col min="44" max="45" width="2.27272727272727" style="2" customWidth="1"/>
    <col min="46" max="46" width="2.45454545454545" style="2" customWidth="1"/>
    <col min="47" max="48" width="2.27272727272727" style="2" customWidth="1"/>
    <col min="49" max="49" width="2.45454545454545" style="2" customWidth="1"/>
    <col min="50" max="51" width="2.18181818181818" style="2" customWidth="1"/>
    <col min="52" max="53" width="0.272727272727273" style="2" customWidth="1"/>
    <col min="54" max="16384" width="2.18181818181818" style="2"/>
  </cols>
  <sheetData>
    <row r="1" customHeight="1" spans="1:55">
      <c r="A1" s="3" t="s">
        <v>226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customHeight="1" spans="1:55">
      <c r="A2" s="3" t="s">
        <v>28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customHeight="1" spans="1:55">
      <c r="A3" s="6" t="s">
        <v>29</v>
      </c>
      <c r="B3" s="6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ht="4" customHeight="1" spans="1:55">
      <c r="A4" s="7"/>
      <c r="B4" s="7"/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ht="4" customHeight="1" spans="1:55">
      <c r="A5" s="4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4"/>
      <c r="BB5" s="4"/>
      <c r="BC5" s="4"/>
    </row>
    <row r="6" customHeight="1" spans="1:55">
      <c r="A6" s="4"/>
      <c r="B6" s="11"/>
      <c r="C6" s="4" t="s">
        <v>227</v>
      </c>
      <c r="D6" s="12"/>
      <c r="E6" s="12"/>
      <c r="F6" s="12"/>
      <c r="G6" s="12"/>
      <c r="H6" s="12"/>
      <c r="I6" s="12"/>
      <c r="J6" s="12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15"/>
      <c r="BA6" s="4"/>
      <c r="BB6" s="4"/>
      <c r="BC6" s="4"/>
    </row>
    <row r="7" ht="4" customHeight="1" spans="1:55">
      <c r="A7" s="4"/>
      <c r="B7" s="11"/>
      <c r="C7" s="12"/>
      <c r="D7" s="12"/>
      <c r="E7" s="12"/>
      <c r="F7" s="12"/>
      <c r="G7" s="12"/>
      <c r="H7" s="12"/>
      <c r="I7" s="12"/>
      <c r="J7" s="12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15"/>
      <c r="BA7" s="4"/>
      <c r="BB7" s="4"/>
      <c r="BC7" s="4"/>
    </row>
    <row r="8" customHeight="1" spans="1:55">
      <c r="A8" s="4"/>
      <c r="B8" s="11"/>
      <c r="C8" s="12"/>
      <c r="D8" s="62" t="s">
        <v>145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4"/>
      <c r="P8" s="42" t="s">
        <v>97</v>
      </c>
      <c r="Q8" s="42"/>
      <c r="R8" s="42"/>
      <c r="S8" s="42"/>
      <c r="T8" s="42"/>
      <c r="U8" s="42"/>
      <c r="V8" s="42"/>
      <c r="W8" s="42"/>
      <c r="X8" s="42"/>
      <c r="Y8" s="42"/>
      <c r="Z8" s="42"/>
      <c r="AA8" s="65"/>
      <c r="AB8" s="66" t="s">
        <v>98</v>
      </c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39"/>
      <c r="AP8" s="65"/>
      <c r="AQ8" s="67" t="s">
        <v>125</v>
      </c>
      <c r="AR8" s="40"/>
      <c r="AS8" s="40"/>
      <c r="AT8" s="40"/>
      <c r="AU8" s="40"/>
      <c r="AV8" s="40"/>
      <c r="AW8" s="40"/>
      <c r="AX8" s="40"/>
      <c r="AY8" s="41"/>
      <c r="AZ8" s="15"/>
      <c r="BA8" s="4"/>
      <c r="BB8" s="4"/>
      <c r="BC8" s="4"/>
    </row>
    <row r="9" customHeight="1" spans="1:55">
      <c r="A9" s="4"/>
      <c r="B9" s="11"/>
      <c r="C9" s="12"/>
      <c r="D9" s="68"/>
      <c r="E9" s="69"/>
      <c r="F9" s="69"/>
      <c r="G9" s="69"/>
      <c r="H9" s="69"/>
      <c r="I9" s="69"/>
      <c r="J9" s="69"/>
      <c r="K9" s="69"/>
      <c r="L9" s="69"/>
      <c r="M9" s="69"/>
      <c r="N9" s="69"/>
      <c r="O9" s="70"/>
      <c r="P9" s="42" t="s">
        <v>100</v>
      </c>
      <c r="Q9" s="42"/>
      <c r="R9" s="42"/>
      <c r="S9" s="42" t="s">
        <v>116</v>
      </c>
      <c r="T9" s="42"/>
      <c r="U9" s="42"/>
      <c r="V9" s="42" t="s">
        <v>117</v>
      </c>
      <c r="W9" s="42"/>
      <c r="X9" s="39"/>
      <c r="Y9" s="44" t="s">
        <v>54</v>
      </c>
      <c r="Z9" s="42"/>
      <c r="AA9" s="65"/>
      <c r="AB9" s="66" t="s">
        <v>101</v>
      </c>
      <c r="AC9" s="42"/>
      <c r="AD9" s="42"/>
      <c r="AE9" s="42" t="s">
        <v>126</v>
      </c>
      <c r="AF9" s="42"/>
      <c r="AG9" s="42"/>
      <c r="AH9" s="42" t="s">
        <v>127</v>
      </c>
      <c r="AI9" s="42"/>
      <c r="AJ9" s="42"/>
      <c r="AK9" s="42" t="s">
        <v>128</v>
      </c>
      <c r="AL9" s="42"/>
      <c r="AM9" s="39"/>
      <c r="AN9" s="44" t="s">
        <v>54</v>
      </c>
      <c r="AO9" s="39"/>
      <c r="AP9" s="65"/>
      <c r="AQ9" s="66" t="s">
        <v>129</v>
      </c>
      <c r="AR9" s="42"/>
      <c r="AS9" s="42"/>
      <c r="AT9" s="42" t="s">
        <v>130</v>
      </c>
      <c r="AU9" s="42"/>
      <c r="AV9" s="39"/>
      <c r="AW9" s="43" t="s">
        <v>54</v>
      </c>
      <c r="AX9" s="40"/>
      <c r="AY9" s="41"/>
      <c r="AZ9" s="15"/>
      <c r="BA9" s="4"/>
      <c r="BB9" s="4"/>
      <c r="BC9" s="4"/>
    </row>
    <row r="10" customHeight="1" spans="1:55">
      <c r="A10" s="4"/>
      <c r="B10" s="11"/>
      <c r="C10" s="4"/>
      <c r="D10" s="71" t="s">
        <v>228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3"/>
      <c r="P10" s="45"/>
      <c r="Q10" s="45"/>
      <c r="R10" s="45"/>
      <c r="S10" s="45"/>
      <c r="T10" s="45"/>
      <c r="U10" s="45"/>
      <c r="V10" s="45"/>
      <c r="W10" s="45"/>
      <c r="X10" s="46"/>
      <c r="Y10" s="50">
        <f>SUM(P10:X10)</f>
        <v>0</v>
      </c>
      <c r="Z10" s="51"/>
      <c r="AA10" s="74"/>
      <c r="AB10" s="7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6"/>
      <c r="AN10" s="50">
        <f>SUM(AB10:AM10)</f>
        <v>0</v>
      </c>
      <c r="AO10" s="76"/>
      <c r="AP10" s="74"/>
      <c r="AQ10" s="75"/>
      <c r="AR10" s="45"/>
      <c r="AS10" s="45"/>
      <c r="AT10" s="45"/>
      <c r="AU10" s="45"/>
      <c r="AV10" s="46"/>
      <c r="AW10" s="47">
        <f>SUM(AQ10:AV10)</f>
        <v>0</v>
      </c>
      <c r="AX10" s="48"/>
      <c r="AY10" s="49"/>
      <c r="AZ10" s="15"/>
      <c r="BA10" s="4"/>
      <c r="BB10" s="4"/>
      <c r="BC10" s="4"/>
    </row>
    <row r="11" customHeight="1" spans="1:55">
      <c r="A11" s="4"/>
      <c r="B11" s="11"/>
      <c r="C11" s="4"/>
      <c r="D11" s="71" t="s">
        <v>229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3"/>
      <c r="P11" s="45"/>
      <c r="Q11" s="45"/>
      <c r="R11" s="45"/>
      <c r="S11" s="45"/>
      <c r="T11" s="45"/>
      <c r="U11" s="45"/>
      <c r="V11" s="45"/>
      <c r="W11" s="45"/>
      <c r="X11" s="46"/>
      <c r="Y11" s="50">
        <f>SUM(P11:X11)</f>
        <v>0</v>
      </c>
      <c r="Z11" s="51"/>
      <c r="AA11" s="74"/>
      <c r="AB11" s="7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6"/>
      <c r="AN11" s="50">
        <f>SUM(AB11:AM11)</f>
        <v>0</v>
      </c>
      <c r="AO11" s="76"/>
      <c r="AP11" s="74"/>
      <c r="AQ11" s="75"/>
      <c r="AR11" s="45"/>
      <c r="AS11" s="45"/>
      <c r="AT11" s="45"/>
      <c r="AU11" s="45"/>
      <c r="AV11" s="46"/>
      <c r="AW11" s="47">
        <f>SUM(AQ11:AV11)</f>
        <v>0</v>
      </c>
      <c r="AX11" s="48"/>
      <c r="AY11" s="49"/>
      <c r="AZ11" s="15"/>
      <c r="BA11" s="4"/>
      <c r="BB11" s="4"/>
      <c r="BC11" s="4"/>
    </row>
    <row r="12" ht="4" customHeight="1" spans="1:55">
      <c r="A12" s="4"/>
      <c r="B12" s="11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21"/>
      <c r="BA12" s="4"/>
      <c r="BB12" s="4"/>
      <c r="BC12" s="4"/>
    </row>
    <row r="13" customHeight="1" spans="1:55">
      <c r="A13" s="4"/>
      <c r="B13" s="11"/>
      <c r="C13" s="4" t="s">
        <v>230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37" t="b">
        <v>0</v>
      </c>
      <c r="W13" s="4" t="s">
        <v>150</v>
      </c>
      <c r="X13" s="4"/>
      <c r="Y13" s="4"/>
      <c r="Z13" s="13"/>
      <c r="AA13" s="4"/>
      <c r="AB13" s="14"/>
      <c r="AC13" s="13"/>
      <c r="AD13" s="1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21"/>
      <c r="BA13" s="4"/>
      <c r="BB13" s="4"/>
      <c r="BC13" s="4"/>
    </row>
    <row r="14" ht="4" customHeight="1" spans="1:55">
      <c r="A14" s="7"/>
      <c r="B14" s="77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21"/>
      <c r="BA14" s="4"/>
      <c r="BB14" s="4"/>
      <c r="BC14" s="4"/>
    </row>
    <row r="15" ht="16" customHeight="1" spans="1:55">
      <c r="A15" s="4"/>
      <c r="B15" s="11"/>
      <c r="C15" s="325" t="s">
        <v>231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78"/>
      <c r="AL15" s="79"/>
      <c r="AM15" s="79"/>
      <c r="AN15" s="79"/>
      <c r="AO15" s="79"/>
      <c r="AP15" s="80"/>
      <c r="AQ15" s="81"/>
      <c r="AR15" s="81"/>
      <c r="AS15" s="81"/>
      <c r="AT15" s="81"/>
      <c r="AU15" s="4"/>
      <c r="AV15" s="4"/>
      <c r="AW15" s="4"/>
      <c r="AX15" s="4"/>
      <c r="AY15" s="4"/>
      <c r="AZ15" s="21"/>
      <c r="BA15" s="4"/>
      <c r="BB15" s="4"/>
      <c r="BC15" s="4"/>
    </row>
    <row r="16" ht="4" customHeight="1" spans="1:55">
      <c r="A16" s="4"/>
      <c r="B16" s="28"/>
      <c r="C16" s="29"/>
      <c r="D16" s="29"/>
      <c r="E16" s="29"/>
      <c r="F16" s="29"/>
      <c r="G16" s="29"/>
      <c r="H16" s="29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1"/>
      <c r="BA16" s="4"/>
      <c r="BB16" s="4"/>
      <c r="BC16" s="4"/>
    </row>
    <row r="17" ht="4" customHeight="1" spans="1:55">
      <c r="A17" s="4"/>
      <c r="B17" s="4"/>
      <c r="C17" s="12"/>
      <c r="D17" s="12"/>
      <c r="E17" s="12"/>
      <c r="F17" s="12"/>
      <c r="G17" s="12"/>
      <c r="H17" s="12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4"/>
      <c r="BA17" s="4"/>
      <c r="BB17" s="4"/>
    </row>
    <row r="18" customHeight="1" spans="1:55">
      <c r="A18" s="4" t="s">
        <v>232</v>
      </c>
      <c r="B18" s="4"/>
      <c r="C18" s="4"/>
      <c r="D18" s="4"/>
      <c r="E18" s="4"/>
      <c r="F18" s="4"/>
      <c r="G18" s="4"/>
      <c r="H18" s="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4"/>
      <c r="BA18" s="4"/>
      <c r="BB18" s="4"/>
    </row>
    <row r="19" customHeight="1" spans="1:55">
      <c r="A19" s="4"/>
      <c r="B19" s="4"/>
      <c r="C19" s="4" t="s">
        <v>233</v>
      </c>
      <c r="D19" s="4"/>
      <c r="E19" s="4"/>
      <c r="F19" s="4"/>
      <c r="G19" s="4"/>
      <c r="H19" s="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4"/>
      <c r="BA19" s="4"/>
      <c r="BB19" s="4"/>
    </row>
    <row r="20" customHeight="1" spans="1:55">
      <c r="A20" s="4"/>
      <c r="B20" s="4"/>
      <c r="C20" s="4"/>
      <c r="D20" s="4"/>
      <c r="E20" s="4"/>
      <c r="F20" s="4"/>
      <c r="G20" s="4"/>
      <c r="H20" s="4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4"/>
      <c r="BA20" s="4"/>
      <c r="BB20" s="4"/>
    </row>
    <row r="21" customHeight="1" spans="1:55">
      <c r="A21" s="3" t="s">
        <v>234</v>
      </c>
      <c r="B21" s="3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4"/>
      <c r="BA21" s="4"/>
      <c r="BB21" s="4"/>
    </row>
    <row r="22" customHeight="1" spans="1:55">
      <c r="A22" s="3" t="s">
        <v>28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</row>
    <row r="23" customHeight="1" spans="1:55">
      <c r="A23" s="6" t="s">
        <v>29</v>
      </c>
      <c r="B23" s="6"/>
      <c r="C23" s="12"/>
      <c r="D23" s="12"/>
      <c r="E23" s="12"/>
      <c r="F23" s="12"/>
      <c r="G23" s="12"/>
      <c r="H23" s="12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4"/>
      <c r="BA23" s="4"/>
      <c r="BB23" s="4"/>
    </row>
    <row r="24" ht="4" customHeight="1" spans="1:55">
      <c r="A24" s="4"/>
      <c r="B24" s="4"/>
      <c r="C24" s="12"/>
      <c r="D24" s="12"/>
      <c r="E24" s="12"/>
      <c r="F24" s="12"/>
      <c r="G24" s="12"/>
      <c r="H24" s="12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4"/>
      <c r="BA24" s="4"/>
      <c r="BB24" s="4"/>
    </row>
    <row r="25" ht="4" customHeight="1" spans="1:55">
      <c r="A25" s="4"/>
      <c r="B25" s="8"/>
      <c r="C25" s="82"/>
      <c r="D25" s="82"/>
      <c r="E25" s="82"/>
      <c r="F25" s="82"/>
      <c r="G25" s="82"/>
      <c r="H25" s="82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4"/>
      <c r="AU25" s="7"/>
      <c r="AV25" s="7"/>
      <c r="AW25" s="7"/>
      <c r="AX25" s="7"/>
      <c r="AY25" s="7"/>
      <c r="AZ25" s="7"/>
      <c r="BA25" s="7"/>
      <c r="BB25" s="4"/>
      <c r="BC25" s="4"/>
    </row>
    <row r="26" customHeight="1" spans="1:55">
      <c r="A26" s="4"/>
      <c r="B26" s="11"/>
      <c r="C26" s="4" t="s">
        <v>235</v>
      </c>
      <c r="D26" s="85"/>
      <c r="E26" s="85"/>
      <c r="F26" s="85"/>
      <c r="G26" s="85"/>
      <c r="H26" s="85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38"/>
      <c r="AT26" s="15"/>
      <c r="AU26" s="7"/>
      <c r="AV26" s="7"/>
      <c r="AW26" s="7"/>
      <c r="AX26" s="7"/>
      <c r="AY26" s="7"/>
      <c r="AZ26" s="7"/>
      <c r="BA26" s="7"/>
      <c r="BB26" s="4"/>
      <c r="BC26" s="4"/>
    </row>
    <row r="27" customHeight="1" spans="1:55">
      <c r="A27" s="4"/>
      <c r="B27" s="11"/>
      <c r="C27" s="4"/>
      <c r="D27" s="4" t="s">
        <v>236</v>
      </c>
      <c r="E27" s="4"/>
      <c r="F27" s="4"/>
      <c r="G27" s="4"/>
      <c r="H27" s="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4"/>
      <c r="AF27" s="7"/>
      <c r="AG27" s="7"/>
      <c r="AH27" s="7"/>
      <c r="AI27" s="4"/>
      <c r="AJ27" s="7"/>
      <c r="AK27" s="7"/>
      <c r="AL27" s="7"/>
      <c r="AM27" s="7"/>
      <c r="AN27" s="4"/>
      <c r="AO27" s="13"/>
      <c r="AP27" s="13"/>
      <c r="AQ27" s="7"/>
      <c r="AR27" s="4"/>
      <c r="AS27" s="37" t="b">
        <v>0</v>
      </c>
      <c r="AT27" s="15"/>
      <c r="AU27" s="7"/>
      <c r="AV27" s="7"/>
      <c r="AW27" s="7"/>
      <c r="AX27" s="7"/>
      <c r="AY27" s="7"/>
      <c r="AZ27" s="7"/>
      <c r="BA27" s="7"/>
      <c r="BB27" s="4"/>
      <c r="BC27" s="4"/>
    </row>
    <row r="28" customHeight="1" spans="1:55">
      <c r="A28" s="4"/>
      <c r="B28" s="11"/>
      <c r="C28" s="4"/>
      <c r="D28" s="4" t="s">
        <v>237</v>
      </c>
      <c r="E28" s="4"/>
      <c r="F28" s="4"/>
      <c r="G28" s="4"/>
      <c r="H28" s="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4"/>
      <c r="AF28" s="7"/>
      <c r="AG28" s="7"/>
      <c r="AH28" s="7"/>
      <c r="AI28" s="4"/>
      <c r="AJ28" s="7"/>
      <c r="AK28" s="7"/>
      <c r="AL28" s="7"/>
      <c r="AM28" s="7"/>
      <c r="AN28" s="4"/>
      <c r="AO28" s="13"/>
      <c r="AP28" s="13"/>
      <c r="AQ28" s="7"/>
      <c r="AR28" s="4"/>
      <c r="AS28" s="37" t="b">
        <v>0</v>
      </c>
      <c r="AT28" s="15"/>
      <c r="AU28" s="7"/>
      <c r="AV28" s="7"/>
      <c r="AW28" s="7"/>
      <c r="AX28" s="7"/>
      <c r="AY28" s="7"/>
      <c r="AZ28" s="7"/>
      <c r="BA28" s="7"/>
      <c r="BB28" s="4"/>
      <c r="BC28" s="4"/>
    </row>
    <row r="29" ht="4" customHeight="1" spans="1:55">
      <c r="A29" s="4"/>
      <c r="B29" s="11"/>
      <c r="C29" s="4"/>
      <c r="D29" s="4"/>
      <c r="E29" s="4"/>
      <c r="F29" s="4"/>
      <c r="G29" s="4"/>
      <c r="H29" s="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4"/>
      <c r="AF29" s="7"/>
      <c r="AG29" s="7"/>
      <c r="AH29" s="7"/>
      <c r="AI29" s="4"/>
      <c r="AJ29" s="7"/>
      <c r="AK29" s="7"/>
      <c r="AL29" s="7"/>
      <c r="AM29" s="7"/>
      <c r="AN29" s="4"/>
      <c r="AO29" s="7"/>
      <c r="AP29" s="7"/>
      <c r="AQ29" s="7"/>
      <c r="AR29" s="4"/>
      <c r="AS29" s="38"/>
      <c r="AT29" s="15"/>
      <c r="AU29" s="7"/>
      <c r="AV29" s="7"/>
      <c r="AW29" s="7"/>
      <c r="AX29" s="7"/>
      <c r="AY29" s="7"/>
      <c r="AZ29" s="7"/>
      <c r="BA29" s="7"/>
      <c r="BB29" s="4"/>
      <c r="BC29" s="4"/>
    </row>
    <row r="30" customHeight="1" spans="1:55">
      <c r="A30" s="4"/>
      <c r="B30" s="11"/>
      <c r="C30" s="4" t="s">
        <v>238</v>
      </c>
      <c r="D30" s="4"/>
      <c r="E30" s="4"/>
      <c r="F30" s="4"/>
      <c r="G30" s="4"/>
      <c r="H30" s="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4"/>
      <c r="AF30" s="7"/>
      <c r="AG30" s="7"/>
      <c r="AH30" s="7"/>
      <c r="AI30" s="4"/>
      <c r="AJ30" s="7"/>
      <c r="AK30" s="7"/>
      <c r="AL30" s="7"/>
      <c r="AM30" s="7"/>
      <c r="AN30" s="4"/>
      <c r="AO30" s="7"/>
      <c r="AP30" s="7"/>
      <c r="AQ30" s="7"/>
      <c r="AR30" s="4"/>
      <c r="AS30" s="38"/>
      <c r="AT30" s="15"/>
      <c r="AU30" s="7"/>
      <c r="AV30" s="7"/>
      <c r="AW30" s="7"/>
      <c r="AX30" s="7"/>
      <c r="AY30" s="7"/>
      <c r="AZ30" s="7"/>
      <c r="BA30" s="7"/>
      <c r="BB30" s="4"/>
      <c r="BC30" s="4"/>
    </row>
    <row r="31" customHeight="1" spans="1:55">
      <c r="A31" s="4"/>
      <c r="B31" s="11"/>
      <c r="C31" s="4"/>
      <c r="D31" s="4" t="s">
        <v>239</v>
      </c>
      <c r="E31" s="4"/>
      <c r="F31" s="4"/>
      <c r="G31" s="4"/>
      <c r="H31" s="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4"/>
      <c r="AF31" s="7"/>
      <c r="AG31" s="7"/>
      <c r="AH31" s="7"/>
      <c r="AI31" s="4"/>
      <c r="AJ31" s="7"/>
      <c r="AK31" s="7"/>
      <c r="AL31" s="7"/>
      <c r="AM31" s="7"/>
      <c r="AN31" s="4"/>
      <c r="AO31" s="13"/>
      <c r="AP31" s="13"/>
      <c r="AQ31" s="7"/>
      <c r="AR31" s="4"/>
      <c r="AS31" s="37" t="b">
        <v>0</v>
      </c>
      <c r="AT31" s="15"/>
      <c r="AU31" s="7"/>
      <c r="AV31" s="7"/>
      <c r="AW31" s="7"/>
      <c r="AX31" s="7"/>
      <c r="AY31" s="7"/>
      <c r="AZ31" s="7"/>
      <c r="BA31" s="7"/>
      <c r="BB31" s="4"/>
      <c r="BC31" s="4"/>
    </row>
    <row r="32" customHeight="1" spans="1:55">
      <c r="A32" s="4"/>
      <c r="B32" s="11"/>
      <c r="C32" s="7"/>
      <c r="D32" s="4" t="s">
        <v>240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4"/>
      <c r="AF32" s="7"/>
      <c r="AG32" s="7"/>
      <c r="AH32" s="7"/>
      <c r="AI32" s="4"/>
      <c r="AJ32" s="7"/>
      <c r="AK32" s="7"/>
      <c r="AL32" s="7"/>
      <c r="AM32" s="7"/>
      <c r="AN32" s="4"/>
      <c r="AO32" s="13"/>
      <c r="AP32" s="13"/>
      <c r="AQ32" s="7"/>
      <c r="AR32" s="4"/>
      <c r="AS32" s="37" t="b">
        <v>0</v>
      </c>
      <c r="AT32" s="15"/>
      <c r="AU32" s="7"/>
      <c r="AV32" s="7"/>
      <c r="AW32" s="7"/>
      <c r="AX32" s="7"/>
      <c r="AY32" s="7"/>
      <c r="AZ32" s="7"/>
      <c r="BA32" s="7"/>
      <c r="BB32" s="4"/>
      <c r="BC32" s="4"/>
    </row>
    <row r="33" ht="4" customHeight="1" spans="1:55">
      <c r="A33" s="4"/>
      <c r="B33" s="1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21"/>
      <c r="AU33" s="4"/>
      <c r="AV33" s="4"/>
      <c r="AW33" s="4"/>
      <c r="AX33" s="4"/>
      <c r="AY33" s="4"/>
      <c r="AZ33" s="4"/>
      <c r="BA33" s="4"/>
      <c r="BB33" s="4"/>
      <c r="BC33" s="4"/>
    </row>
    <row r="34" customHeight="1" spans="1:55">
      <c r="A34" s="4"/>
      <c r="B34" s="11"/>
      <c r="C34" s="328" t="s">
        <v>241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21"/>
      <c r="AU34" s="4"/>
      <c r="AV34" s="4"/>
      <c r="AW34" s="4"/>
      <c r="AX34" s="4"/>
      <c r="AY34" s="4"/>
      <c r="AZ34" s="4"/>
      <c r="BA34" s="4"/>
      <c r="BB34" s="4"/>
      <c r="BC34" s="4"/>
    </row>
    <row r="35" customHeight="1" spans="1:55">
      <c r="A35" s="4"/>
      <c r="B35" s="11"/>
      <c r="C35" s="4" t="s">
        <v>242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21"/>
      <c r="AU35" s="4"/>
      <c r="AV35" s="4"/>
      <c r="AW35" s="4"/>
      <c r="AX35" s="4"/>
      <c r="AY35" s="4"/>
      <c r="AZ35" s="4"/>
      <c r="BA35" s="4"/>
      <c r="BB35" s="4"/>
      <c r="BC35" s="4"/>
    </row>
    <row r="36" ht="4" customHeight="1" spans="1:55">
      <c r="A36" s="4"/>
      <c r="B36" s="1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21"/>
      <c r="AU36" s="4"/>
      <c r="AV36" s="4"/>
      <c r="AW36" s="4"/>
      <c r="AX36" s="4"/>
      <c r="AY36" s="4"/>
      <c r="AZ36" s="4"/>
      <c r="BA36" s="4"/>
      <c r="BB36" s="4"/>
      <c r="BC36" s="4"/>
    </row>
    <row r="37" customHeight="1" spans="1:55">
      <c r="A37" s="4"/>
      <c r="B37" s="11"/>
      <c r="C37" s="4"/>
      <c r="D37" s="62" t="s">
        <v>145</v>
      </c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4"/>
      <c r="S37" s="42" t="s">
        <v>207</v>
      </c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"/>
      <c r="AO37" s="4"/>
      <c r="AP37" s="4"/>
      <c r="AQ37" s="4"/>
      <c r="AR37" s="4"/>
      <c r="AS37" s="4"/>
      <c r="AT37" s="21"/>
      <c r="AU37" s="4"/>
      <c r="AV37" s="4"/>
      <c r="AW37" s="4"/>
      <c r="AX37" s="4"/>
      <c r="AY37" s="4"/>
      <c r="AZ37" s="4"/>
      <c r="BA37" s="4"/>
      <c r="BB37" s="4"/>
      <c r="BC37" s="4"/>
    </row>
    <row r="38" s="17" customFormat="1" customHeight="1" spans="1:55">
      <c r="A38" s="7"/>
      <c r="B38" s="77"/>
      <c r="C38" s="86"/>
      <c r="D38" s="68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70"/>
      <c r="S38" s="41" t="s">
        <v>190</v>
      </c>
      <c r="T38" s="42"/>
      <c r="U38" s="42"/>
      <c r="V38" s="42"/>
      <c r="W38" s="42"/>
      <c r="X38" s="42"/>
      <c r="Y38" s="42"/>
      <c r="Z38" s="87" t="s">
        <v>191</v>
      </c>
      <c r="AA38" s="42"/>
      <c r="AB38" s="42"/>
      <c r="AC38" s="42"/>
      <c r="AD38" s="42"/>
      <c r="AE38" s="42"/>
      <c r="AF38" s="42"/>
      <c r="AG38" s="87" t="s">
        <v>192</v>
      </c>
      <c r="AH38" s="42"/>
      <c r="AI38" s="42"/>
      <c r="AJ38" s="42"/>
      <c r="AK38" s="42"/>
      <c r="AL38" s="42"/>
      <c r="AM38" s="42"/>
      <c r="AN38" s="7"/>
      <c r="AO38" s="7"/>
      <c r="AP38" s="7"/>
      <c r="AQ38" s="7"/>
      <c r="AR38" s="7"/>
      <c r="AS38" s="7"/>
      <c r="AT38" s="15"/>
      <c r="AU38" s="7"/>
      <c r="AV38" s="7"/>
      <c r="AW38" s="7"/>
      <c r="AX38" s="7"/>
      <c r="AY38" s="7"/>
      <c r="AZ38" s="7"/>
      <c r="BA38" s="7"/>
      <c r="BB38" s="7"/>
      <c r="BC38" s="7"/>
    </row>
    <row r="39" customHeight="1" spans="1:55">
      <c r="A39" s="4"/>
      <c r="B39" s="11"/>
      <c r="C39" s="81"/>
      <c r="D39" s="88" t="s">
        <v>243</v>
      </c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0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91"/>
      <c r="AI39" s="91"/>
      <c r="AJ39" s="91"/>
      <c r="AK39" s="91"/>
      <c r="AL39" s="91"/>
      <c r="AM39" s="91"/>
      <c r="AN39" s="4"/>
      <c r="AO39" s="4"/>
      <c r="AP39" s="4"/>
      <c r="AQ39" s="4"/>
      <c r="AR39" s="4"/>
      <c r="AS39" s="4"/>
      <c r="AT39" s="21"/>
      <c r="AU39" s="4"/>
      <c r="AV39" s="4"/>
      <c r="AW39" s="4"/>
      <c r="AX39" s="4"/>
      <c r="AY39" s="4"/>
      <c r="AZ39" s="4"/>
      <c r="BA39" s="4"/>
      <c r="BB39" s="4"/>
      <c r="BC39" s="4"/>
    </row>
    <row r="40" customHeight="1" spans="1:55">
      <c r="A40" s="4"/>
      <c r="B40" s="11"/>
      <c r="C40" s="81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4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91"/>
      <c r="AI40" s="91"/>
      <c r="AJ40" s="91"/>
      <c r="AK40" s="91"/>
      <c r="AL40" s="91"/>
      <c r="AM40" s="91"/>
      <c r="AN40" s="4"/>
      <c r="AO40" s="4"/>
      <c r="AP40" s="4"/>
      <c r="AQ40" s="4"/>
      <c r="AR40" s="4"/>
      <c r="AS40" s="4"/>
      <c r="AT40" s="21"/>
      <c r="AU40" s="4"/>
      <c r="AV40" s="4"/>
      <c r="AW40" s="4"/>
      <c r="AX40" s="4"/>
      <c r="AY40" s="4"/>
      <c r="AZ40" s="4"/>
      <c r="BA40" s="4"/>
      <c r="BB40" s="4"/>
      <c r="BC40" s="4"/>
    </row>
    <row r="41" customHeight="1" spans="1:55">
      <c r="A41" s="4"/>
      <c r="B41" s="11"/>
      <c r="C41" s="81"/>
      <c r="D41" s="95" t="s">
        <v>244</v>
      </c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7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91"/>
      <c r="AI41" s="91"/>
      <c r="AJ41" s="91"/>
      <c r="AK41" s="91"/>
      <c r="AL41" s="91"/>
      <c r="AM41" s="91"/>
      <c r="AN41" s="4"/>
      <c r="AO41" s="4"/>
      <c r="AP41" s="4"/>
      <c r="AQ41" s="4"/>
      <c r="AR41" s="4"/>
      <c r="AS41" s="4"/>
      <c r="AT41" s="21"/>
      <c r="AU41" s="4"/>
      <c r="AV41" s="4"/>
      <c r="AW41" s="4"/>
      <c r="AX41" s="4"/>
      <c r="AY41" s="4"/>
      <c r="AZ41" s="4"/>
      <c r="BA41" s="4"/>
      <c r="BB41" s="4"/>
      <c r="BC41" s="4"/>
    </row>
    <row r="42" customHeight="1" spans="1:55">
      <c r="A42" s="4"/>
      <c r="B42" s="11"/>
      <c r="C42" s="81"/>
      <c r="D42" s="98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100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4"/>
      <c r="AO42" s="4"/>
      <c r="AP42" s="4"/>
      <c r="AQ42" s="4"/>
      <c r="AR42" s="4"/>
      <c r="AS42" s="4"/>
      <c r="AT42" s="21"/>
      <c r="AU42" s="4"/>
      <c r="AV42" s="4"/>
      <c r="AW42" s="4"/>
      <c r="AX42" s="4"/>
      <c r="AY42" s="4"/>
      <c r="AZ42" s="4"/>
      <c r="BA42" s="4"/>
      <c r="BB42" s="4"/>
      <c r="BC42" s="4"/>
    </row>
    <row r="43" ht="4" customHeight="1" spans="1:55">
      <c r="A43" s="4"/>
      <c r="B43" s="11"/>
      <c r="C43" s="8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21"/>
      <c r="AU43" s="4"/>
      <c r="AV43" s="4"/>
      <c r="AW43" s="4"/>
      <c r="AX43" s="4"/>
      <c r="AY43" s="4"/>
      <c r="AZ43" s="4"/>
      <c r="BA43" s="4"/>
      <c r="BB43" s="4"/>
      <c r="BC43" s="4"/>
    </row>
    <row r="44" customHeight="1" spans="1:55">
      <c r="A44" s="4"/>
      <c r="B44" s="11"/>
      <c r="C44" s="81" t="s">
        <v>245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21"/>
      <c r="AU44" s="4"/>
      <c r="AV44" s="4"/>
      <c r="AW44" s="4"/>
      <c r="AX44" s="4"/>
      <c r="AY44" s="4"/>
      <c r="AZ44" s="4"/>
      <c r="BA44" s="4"/>
      <c r="BB44" s="4"/>
      <c r="BC44" s="4"/>
    </row>
    <row r="45" customHeight="1" spans="1:55">
      <c r="A45" s="4"/>
      <c r="B45" s="11"/>
      <c r="C45" s="4" t="s">
        <v>246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21"/>
      <c r="AU45" s="4"/>
      <c r="AV45" s="4"/>
      <c r="AW45" s="4"/>
      <c r="AX45" s="4"/>
      <c r="AY45" s="4"/>
      <c r="AZ45" s="4"/>
      <c r="BA45" s="4"/>
      <c r="BB45" s="4"/>
      <c r="BC45" s="4"/>
    </row>
    <row r="46" s="17" customFormat="1" ht="4" customHeight="1" spans="1:55">
      <c r="A46" s="7"/>
      <c r="B46" s="7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15"/>
      <c r="AU46" s="7"/>
      <c r="AV46" s="7"/>
      <c r="AW46" s="7"/>
      <c r="AX46" s="7"/>
      <c r="AY46" s="7"/>
      <c r="AZ46" s="7"/>
      <c r="BA46" s="7"/>
      <c r="BB46" s="7"/>
      <c r="BC46" s="7"/>
    </row>
    <row r="47" s="17" customFormat="1" customHeight="1" spans="1:55">
      <c r="A47" s="7"/>
      <c r="B47" s="77"/>
      <c r="C47" s="7"/>
      <c r="D47" s="62" t="s">
        <v>145</v>
      </c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4"/>
      <c r="S47" s="42" t="s">
        <v>207</v>
      </c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7"/>
      <c r="AO47" s="7"/>
      <c r="AP47" s="7"/>
      <c r="AQ47" s="7"/>
      <c r="AR47" s="7"/>
      <c r="AS47" s="7"/>
      <c r="AT47" s="15"/>
      <c r="AU47" s="7"/>
      <c r="AV47" s="7"/>
      <c r="AW47" s="7"/>
      <c r="AX47" s="7"/>
      <c r="AY47" s="7"/>
      <c r="AZ47" s="7"/>
      <c r="BA47" s="7"/>
      <c r="BB47" s="7"/>
      <c r="BC47" s="7"/>
    </row>
    <row r="48" customHeight="1" spans="1:55">
      <c r="A48" s="4"/>
      <c r="B48" s="11"/>
      <c r="C48" s="4"/>
      <c r="D48" s="68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70"/>
      <c r="S48" s="41" t="s">
        <v>190</v>
      </c>
      <c r="T48" s="42"/>
      <c r="U48" s="42"/>
      <c r="V48" s="42"/>
      <c r="W48" s="42"/>
      <c r="X48" s="42"/>
      <c r="Y48" s="42"/>
      <c r="Z48" s="87" t="s">
        <v>191</v>
      </c>
      <c r="AA48" s="42"/>
      <c r="AB48" s="42"/>
      <c r="AC48" s="42"/>
      <c r="AD48" s="42"/>
      <c r="AE48" s="42"/>
      <c r="AF48" s="42"/>
      <c r="AG48" s="87" t="s">
        <v>192</v>
      </c>
      <c r="AH48" s="42"/>
      <c r="AI48" s="42"/>
      <c r="AJ48" s="42"/>
      <c r="AK48" s="42"/>
      <c r="AL48" s="42"/>
      <c r="AM48" s="42"/>
      <c r="AN48" s="4"/>
      <c r="AO48" s="4"/>
      <c r="AP48" s="4"/>
      <c r="AQ48" s="4"/>
      <c r="AR48" s="4"/>
      <c r="AS48" s="4"/>
      <c r="AT48" s="21"/>
      <c r="AU48" s="4"/>
      <c r="AV48" s="4"/>
      <c r="AW48" s="4"/>
      <c r="AX48" s="4"/>
      <c r="AY48" s="4"/>
      <c r="AZ48" s="4"/>
      <c r="BA48" s="4"/>
      <c r="BB48" s="4"/>
      <c r="BC48" s="4"/>
    </row>
    <row r="49" customHeight="1" spans="1:55">
      <c r="A49" s="4"/>
      <c r="B49" s="11"/>
      <c r="C49" s="4"/>
      <c r="D49" s="88" t="s">
        <v>247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90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"/>
      <c r="AO49" s="4"/>
      <c r="AP49" s="4"/>
      <c r="AQ49" s="4"/>
      <c r="AR49" s="4"/>
      <c r="AS49" s="4"/>
      <c r="AT49" s="21"/>
      <c r="AU49" s="4"/>
      <c r="AV49" s="4"/>
      <c r="AW49" s="4"/>
      <c r="AX49" s="4"/>
      <c r="AY49" s="4"/>
      <c r="AZ49" s="4"/>
      <c r="BA49" s="4"/>
      <c r="BB49" s="4"/>
      <c r="BC49" s="4"/>
    </row>
    <row r="50" customHeight="1" spans="1:55">
      <c r="A50" s="4"/>
      <c r="B50" s="11"/>
      <c r="C50" s="4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4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"/>
      <c r="AO50" s="4"/>
      <c r="AP50" s="4"/>
      <c r="AQ50" s="4"/>
      <c r="AR50" s="4"/>
      <c r="AS50" s="4"/>
      <c r="AT50" s="21"/>
      <c r="AU50" s="4"/>
      <c r="AV50" s="4"/>
      <c r="AW50" s="4"/>
      <c r="AX50" s="4"/>
      <c r="AY50" s="4"/>
      <c r="AZ50" s="4"/>
      <c r="BA50" s="4"/>
      <c r="BB50" s="4"/>
      <c r="BC50" s="4"/>
    </row>
    <row r="51" customHeight="1" spans="1:55">
      <c r="A51" s="4"/>
      <c r="B51" s="11"/>
      <c r="C51" s="4"/>
      <c r="D51" s="95" t="s">
        <v>248</v>
      </c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7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"/>
      <c r="AO51" s="4"/>
      <c r="AP51" s="4"/>
      <c r="AQ51" s="4"/>
      <c r="AR51" s="4"/>
      <c r="AS51" s="4"/>
      <c r="AT51" s="21"/>
      <c r="AU51" s="4"/>
      <c r="AV51" s="4"/>
      <c r="AW51" s="4"/>
      <c r="AX51" s="4"/>
      <c r="AY51" s="4"/>
      <c r="AZ51" s="4"/>
      <c r="BA51" s="4"/>
      <c r="BB51" s="4"/>
      <c r="BC51" s="4"/>
    </row>
    <row r="52" customHeight="1" spans="1:55">
      <c r="A52" s="4"/>
      <c r="B52" s="11"/>
      <c r="C52" s="4"/>
      <c r="D52" s="98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100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"/>
      <c r="AO52" s="4"/>
      <c r="AP52" s="4"/>
      <c r="AQ52" s="4"/>
      <c r="AR52" s="4"/>
      <c r="AS52" s="4"/>
      <c r="AT52" s="21"/>
      <c r="AU52" s="4"/>
      <c r="AV52" s="4"/>
      <c r="AW52" s="4"/>
      <c r="AX52" s="4"/>
      <c r="AY52" s="4"/>
      <c r="AZ52" s="4"/>
      <c r="BA52" s="4"/>
      <c r="BB52" s="4"/>
      <c r="BC52" s="4"/>
    </row>
    <row r="53" ht="4" customHeight="1" spans="1:55">
      <c r="A53" s="4"/>
      <c r="B53" s="28"/>
      <c r="C53" s="59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59"/>
      <c r="AN53" s="59"/>
      <c r="AO53" s="59"/>
      <c r="AP53" s="59"/>
      <c r="AQ53" s="59"/>
      <c r="AR53" s="59"/>
      <c r="AS53" s="59"/>
      <c r="AT53" s="61"/>
      <c r="AU53" s="4"/>
      <c r="AV53" s="4"/>
      <c r="AW53" s="4"/>
      <c r="AX53" s="4"/>
      <c r="AY53" s="4"/>
      <c r="AZ53" s="4"/>
      <c r="BA53" s="4"/>
      <c r="BB53" s="4"/>
      <c r="BC53" s="4"/>
    </row>
    <row r="54" ht="4" customHeight="1" spans="1:5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</row>
    <row r="55" customHeight="1" spans="1:55">
      <c r="A55" s="4"/>
      <c r="B55" s="4"/>
      <c r="C55" s="81" t="s">
        <v>249</v>
      </c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4"/>
      <c r="AY55" s="4"/>
      <c r="AZ55" s="4"/>
      <c r="BA55" s="4"/>
      <c r="BB55" s="4"/>
    </row>
  </sheetData>
  <sheetProtection algorithmName="SHA-512" hashValue="Rpkm6WQPS47cr6xPKnI9Pjvo8qbtP6MKKa6mpXxP/cjt72SdpIh1SjOKVxeynrdooF8SwKQFrZPkNwiF6SxVmg==" saltValue="U0InXleBc68iAhXYc3+eLg==" spinCount="100000" sheet="1" objects="1" scenarios="1"/>
  <protectedRanges>
    <protectedRange sqref="AS27:AS28 AS31:AS32 S39:AM42 S49:AM52 P10:X11 AB10:AM11 AQ10:AV11 V13 AK15" name="IX. Boxes 5 to 6"/>
  </protectedRanges>
  <mergeCells count="70">
    <mergeCell ref="P8:AA8"/>
    <mergeCell ref="AB8:AP8"/>
    <mergeCell ref="AQ8:AY8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AW9:AY9"/>
    <mergeCell ref="D10:O10"/>
    <mergeCell ref="P10:R10"/>
    <mergeCell ref="S10:U10"/>
    <mergeCell ref="V10:X10"/>
    <mergeCell ref="Y10:AA10"/>
    <mergeCell ref="AB10:AD10"/>
    <mergeCell ref="AE10:AG10"/>
    <mergeCell ref="AH10:AJ10"/>
    <mergeCell ref="AK10:AM10"/>
    <mergeCell ref="AN10:AP10"/>
    <mergeCell ref="AQ10:AS10"/>
    <mergeCell ref="AT10:AV10"/>
    <mergeCell ref="AW10:AY10"/>
    <mergeCell ref="D11:O11"/>
    <mergeCell ref="P11:R11"/>
    <mergeCell ref="S11:U11"/>
    <mergeCell ref="V11:X11"/>
    <mergeCell ref="Y11:AA11"/>
    <mergeCell ref="AB11:AD11"/>
    <mergeCell ref="AE11:AG11"/>
    <mergeCell ref="AH11:AJ11"/>
    <mergeCell ref="AK11:AM11"/>
    <mergeCell ref="AN11:AP11"/>
    <mergeCell ref="AQ11:AS11"/>
    <mergeCell ref="AT11:AV11"/>
    <mergeCell ref="AW11:AY11"/>
    <mergeCell ref="AK15:AP15"/>
    <mergeCell ref="S37:AM37"/>
    <mergeCell ref="S38:Y38"/>
    <mergeCell ref="Z38:AF38"/>
    <mergeCell ref="AG38:AM38"/>
    <mergeCell ref="S47:AM47"/>
    <mergeCell ref="S48:Y48"/>
    <mergeCell ref="Z48:AF48"/>
    <mergeCell ref="AG48:AM48"/>
    <mergeCell ref="C55:AW55"/>
    <mergeCell ref="D8:O9"/>
    <mergeCell ref="D37:R38"/>
    <mergeCell ref="D39:R40"/>
    <mergeCell ref="S39:Y40"/>
    <mergeCell ref="Z39:AF40"/>
    <mergeCell ref="AG39:AM40"/>
    <mergeCell ref="D41:R42"/>
    <mergeCell ref="S41:Y42"/>
    <mergeCell ref="Z41:AF42"/>
    <mergeCell ref="AG41:AM42"/>
    <mergeCell ref="D47:R48"/>
    <mergeCell ref="D49:R50"/>
    <mergeCell ref="S49:Y50"/>
    <mergeCell ref="Z49:AF50"/>
    <mergeCell ref="AG49:AM50"/>
    <mergeCell ref="D51:R52"/>
    <mergeCell ref="S51:Y52"/>
    <mergeCell ref="Z51:AF52"/>
    <mergeCell ref="AG51:AM52"/>
  </mergeCells>
  <dataValidations count="3">
    <dataValidation type="whole" operator="between" allowBlank="1" showInputMessage="1" showErrorMessage="1" errorTitle="GSP SY 2025-2026" error="Please enter a valid number from 0 to 20,000." sqref="AK15:AP15 P10:X11 AB10:AM11 AQ10:AV11">
      <formula1>0</formula1>
      <formula2>20000</formula2>
    </dataValidation>
    <dataValidation type="whole" operator="between" allowBlank="1" showInputMessage="1" showErrorMessage="1" errorTitle="GSP SY 2025-2026" error="Please enter a valid number between 0 - 20,000." sqref="AQ15:AT15">
      <formula1>0</formula1>
      <formula2>20000</formula2>
    </dataValidation>
    <dataValidation type="whole" operator="between" allowBlank="1" showInputMessage="1" showErrorMessage="1" errorTitle="GSP SY 2025-2026" error="Please enter a valid number from 0 to 999." sqref="S39:AM42 S49:AM52">
      <formula1>0</formula1>
      <formula2>999</formula2>
    </dataValidation>
  </dataValidations>
  <printOptions horizontalCentered="1"/>
  <pageMargins left="0.15748031496063" right="0.15748031496063" top="0.15748031496063" bottom="0.31496062992126" header="0.31496062992126" footer="0.15748031496063"/>
  <pageSetup paperSize="9" scale="104" orientation="landscape"/>
  <headerFooter>
    <oddFooter>&amp;LGSP, SY 2025-2026&amp;RPage 53 of 85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name="Check Box 1" r:id="rId3">
              <controlPr locked="0" defaultSize="0">
                <anchor moveWithCells="1">
                  <from>
                    <xdr:col>20</xdr:col>
                    <xdr:colOff>152400</xdr:colOff>
                    <xdr:row>11</xdr:row>
                    <xdr:rowOff>19050</xdr:rowOff>
                  </from>
                  <to>
                    <xdr:col>22</xdr:col>
                    <xdr:colOff>69850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name="Check Box 2" r:id="rId4">
              <controlPr defaultSize="0">
                <anchor moveWithCells="1">
                  <from>
                    <xdr:col>43</xdr:col>
                    <xdr:colOff>133350</xdr:colOff>
                    <xdr:row>25</xdr:row>
                    <xdr:rowOff>114300</xdr:rowOff>
                  </from>
                  <to>
                    <xdr:col>45</xdr:col>
                    <xdr:colOff>50800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name="Check Box 3" r:id="rId5">
              <controlPr defaultSize="0">
                <anchor moveWithCells="1">
                  <from>
                    <xdr:col>43</xdr:col>
                    <xdr:colOff>133350</xdr:colOff>
                    <xdr:row>26</xdr:row>
                    <xdr:rowOff>114300</xdr:rowOff>
                  </from>
                  <to>
                    <xdr:col>45</xdr:col>
                    <xdr:colOff>50800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name="Check Box 4" r:id="rId6">
              <controlPr defaultSize="0">
                <anchor moveWithCells="1">
                  <from>
                    <xdr:col>43</xdr:col>
                    <xdr:colOff>146050</xdr:colOff>
                    <xdr:row>29</xdr:row>
                    <xdr:rowOff>114300</xdr:rowOff>
                  </from>
                  <to>
                    <xdr:col>45</xdr:col>
                    <xdr:colOff>57150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name="Check Box 5" r:id="rId7">
              <controlPr defaultSize="0">
                <anchor moveWithCells="1">
                  <from>
                    <xdr:col>43</xdr:col>
                    <xdr:colOff>146050</xdr:colOff>
                    <xdr:row>30</xdr:row>
                    <xdr:rowOff>114300</xdr:rowOff>
                  </from>
                  <to>
                    <xdr:col>45</xdr:col>
                    <xdr:colOff>57150</xdr:colOff>
                    <xdr:row>32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F09A"/>
  </sheetPr>
  <dimension ref="A1:AP69"/>
  <sheetViews>
    <sheetView view="pageBreakPreview" zoomScaleNormal="100" topLeftCell="A21" workbookViewId="0">
      <selection activeCell="N12" sqref="N12"/>
    </sheetView>
  </sheetViews>
  <sheetFormatPr defaultColWidth="2.18181818181818" defaultRowHeight="12" customHeight="1"/>
  <cols>
    <col min="1" max="2" width="0.272727272727273" style="2" customWidth="1"/>
    <col min="3" max="41" width="2.27272727272727" style="2" customWidth="1"/>
    <col min="42" max="43" width="0.272727272727273" style="2" customWidth="1"/>
    <col min="44" max="16384" width="2.18181818181818" style="2"/>
  </cols>
  <sheetData>
    <row r="1" customHeight="1" spans="1:42">
      <c r="A1" s="4"/>
      <c r="B1" s="3" t="s">
        <v>250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customHeight="1" spans="1:42">
      <c r="A2" s="4"/>
      <c r="B2" s="3" t="s">
        <v>28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customHeight="1" spans="1:42">
      <c r="A3" s="4"/>
      <c r="B3" s="6" t="s">
        <v>29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4" customHeight="1" spans="1:42">
      <c r="A4" s="4"/>
      <c r="B4" s="7"/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4" customHeight="1" spans="1:42">
      <c r="A5" s="4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0"/>
      <c r="AL5" s="4"/>
      <c r="AM5" s="4"/>
      <c r="AN5" s="4"/>
      <c r="AO5" s="4"/>
      <c r="AP5" s="4"/>
    </row>
    <row r="6" customHeight="1" spans="1:42">
      <c r="A6" s="4"/>
      <c r="B6" s="11"/>
      <c r="C6" s="325" t="s">
        <v>251</v>
      </c>
      <c r="D6" s="12"/>
      <c r="E6" s="12"/>
      <c r="F6" s="12"/>
      <c r="G6" s="12"/>
      <c r="H6" s="12"/>
      <c r="I6" s="12"/>
      <c r="J6" s="12"/>
      <c r="K6" s="7"/>
      <c r="L6" s="7"/>
      <c r="M6" s="7"/>
      <c r="N6" s="7"/>
      <c r="O6" s="7"/>
      <c r="P6" s="7"/>
      <c r="Q6" s="7"/>
      <c r="R6" s="7"/>
      <c r="S6" s="7"/>
      <c r="T6" s="4"/>
      <c r="U6" s="4"/>
      <c r="V6" s="7"/>
      <c r="W6" s="7"/>
      <c r="X6" s="4"/>
      <c r="Y6" s="4"/>
      <c r="Z6" s="37" t="b">
        <v>0</v>
      </c>
      <c r="AA6" s="19" t="s">
        <v>150</v>
      </c>
      <c r="AB6" s="7"/>
      <c r="AC6" s="7"/>
      <c r="AD6" s="7"/>
      <c r="AE6" s="7"/>
      <c r="AF6" s="7"/>
      <c r="AG6" s="7"/>
      <c r="AH6" s="7"/>
      <c r="AI6" s="7"/>
      <c r="AJ6" s="7"/>
      <c r="AK6" s="15"/>
      <c r="AL6" s="7"/>
      <c r="AM6" s="4"/>
      <c r="AN6" s="4"/>
      <c r="AO6" s="4"/>
      <c r="AP6" s="4"/>
    </row>
    <row r="7" ht="4" customHeight="1" spans="1:42">
      <c r="A7" s="4"/>
      <c r="B7" s="11"/>
      <c r="C7" s="12"/>
      <c r="D7" s="12"/>
      <c r="E7" s="12"/>
      <c r="F7" s="12"/>
      <c r="G7" s="12"/>
      <c r="H7" s="12"/>
      <c r="I7" s="12"/>
      <c r="J7" s="12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4"/>
      <c r="Y7" s="4"/>
      <c r="Z7" s="38"/>
      <c r="AA7" s="7"/>
      <c r="AB7" s="7"/>
      <c r="AC7" s="7"/>
      <c r="AD7" s="7"/>
      <c r="AE7" s="7"/>
      <c r="AF7" s="7"/>
      <c r="AG7" s="7"/>
      <c r="AH7" s="7"/>
      <c r="AI7" s="7"/>
      <c r="AJ7" s="7"/>
      <c r="AK7" s="15"/>
      <c r="AL7" s="7"/>
      <c r="AM7" s="4"/>
      <c r="AN7" s="4"/>
      <c r="AO7" s="4"/>
      <c r="AP7" s="4"/>
    </row>
    <row r="8" customHeight="1" spans="1:42">
      <c r="A8" s="4"/>
      <c r="B8" s="11"/>
      <c r="C8" s="4" t="s">
        <v>252</v>
      </c>
      <c r="D8" s="12"/>
      <c r="E8" s="12"/>
      <c r="F8" s="12"/>
      <c r="G8" s="12"/>
      <c r="H8" s="12"/>
      <c r="I8" s="12"/>
      <c r="J8" s="12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4"/>
      <c r="Y8" s="4"/>
      <c r="Z8" s="38"/>
      <c r="AA8" s="7"/>
      <c r="AB8" s="7"/>
      <c r="AC8" s="7"/>
      <c r="AD8" s="7"/>
      <c r="AE8" s="7"/>
      <c r="AF8" s="7"/>
      <c r="AG8" s="7"/>
      <c r="AH8" s="7"/>
      <c r="AI8" s="7"/>
      <c r="AJ8" s="7"/>
      <c r="AK8" s="15"/>
      <c r="AL8" s="7"/>
      <c r="AM8" s="4"/>
      <c r="AN8" s="4"/>
      <c r="AO8" s="4"/>
      <c r="AP8" s="4"/>
    </row>
    <row r="9" customHeight="1" spans="1:42">
      <c r="A9" s="4"/>
      <c r="B9" s="11"/>
      <c r="C9" s="4"/>
      <c r="D9" s="4" t="s">
        <v>253</v>
      </c>
      <c r="E9" s="12"/>
      <c r="F9" s="12"/>
      <c r="G9" s="12"/>
      <c r="H9" s="12"/>
      <c r="I9" s="12"/>
      <c r="J9" s="12"/>
      <c r="K9" s="7"/>
      <c r="L9" s="7"/>
      <c r="M9" s="7"/>
      <c r="N9" s="7"/>
      <c r="O9" s="7"/>
      <c r="P9" s="7"/>
      <c r="Q9" s="7"/>
      <c r="R9" s="7"/>
      <c r="S9" s="7"/>
      <c r="T9" s="4"/>
      <c r="U9" s="7"/>
      <c r="V9" s="7"/>
      <c r="W9" s="7"/>
      <c r="X9" s="4"/>
      <c r="Y9" s="4"/>
      <c r="Z9" s="37" t="b">
        <v>0</v>
      </c>
      <c r="AA9" s="7"/>
      <c r="AB9" s="7"/>
      <c r="AC9" s="7"/>
      <c r="AD9" s="7"/>
      <c r="AE9" s="7"/>
      <c r="AF9" s="7"/>
      <c r="AG9" s="7"/>
      <c r="AH9" s="7"/>
      <c r="AI9" s="7"/>
      <c r="AJ9" s="7"/>
      <c r="AK9" s="15"/>
      <c r="AL9" s="7"/>
      <c r="AM9" s="4"/>
      <c r="AN9" s="4"/>
      <c r="AO9" s="4"/>
      <c r="AP9" s="4"/>
    </row>
    <row r="10" customHeight="1" spans="1:42">
      <c r="A10" s="4"/>
      <c r="B10" s="11"/>
      <c r="C10" s="4"/>
      <c r="D10" s="4" t="s">
        <v>254</v>
      </c>
      <c r="E10" s="12"/>
      <c r="F10" s="12"/>
      <c r="G10" s="12"/>
      <c r="H10" s="12"/>
      <c r="I10" s="12"/>
      <c r="J10" s="12"/>
      <c r="K10" s="7"/>
      <c r="L10" s="7"/>
      <c r="M10" s="7"/>
      <c r="N10" s="7"/>
      <c r="O10" s="7"/>
      <c r="P10" s="7"/>
      <c r="Q10" s="7"/>
      <c r="R10" s="7"/>
      <c r="S10" s="7"/>
      <c r="T10" s="4"/>
      <c r="U10" s="7"/>
      <c r="V10" s="7"/>
      <c r="W10" s="7"/>
      <c r="X10" s="4"/>
      <c r="Y10" s="4"/>
      <c r="Z10" s="37" t="b">
        <v>0</v>
      </c>
      <c r="AA10" s="7"/>
      <c r="AB10" s="7"/>
      <c r="AC10" s="7"/>
      <c r="AD10" s="7"/>
      <c r="AE10" s="7"/>
      <c r="AF10" s="7"/>
      <c r="AG10" s="4"/>
      <c r="AH10" s="4"/>
      <c r="AI10" s="4"/>
      <c r="AJ10" s="4"/>
      <c r="AK10" s="21"/>
      <c r="AL10" s="4"/>
      <c r="AM10" s="4"/>
      <c r="AN10" s="4"/>
      <c r="AO10" s="4"/>
      <c r="AP10" s="4"/>
    </row>
    <row r="11" customHeight="1" spans="1:42">
      <c r="A11" s="4"/>
      <c r="B11" s="11"/>
      <c r="C11" s="12"/>
      <c r="D11" s="4" t="s">
        <v>255</v>
      </c>
      <c r="E11" s="12"/>
      <c r="F11" s="12"/>
      <c r="G11" s="12"/>
      <c r="H11" s="12"/>
      <c r="I11" s="12"/>
      <c r="J11" s="12"/>
      <c r="K11" s="7"/>
      <c r="L11" s="7"/>
      <c r="M11" s="7"/>
      <c r="N11" s="7"/>
      <c r="O11" s="7"/>
      <c r="P11" s="7"/>
      <c r="Q11" s="7"/>
      <c r="R11" s="7"/>
      <c r="S11" s="7"/>
      <c r="T11" s="4"/>
      <c r="U11" s="7"/>
      <c r="V11" s="7"/>
      <c r="W11" s="7"/>
      <c r="X11" s="4"/>
      <c r="Y11" s="4"/>
      <c r="Z11" s="37" t="b">
        <v>0</v>
      </c>
      <c r="AA11" s="7"/>
      <c r="AB11" s="7"/>
      <c r="AC11" s="7"/>
      <c r="AD11" s="7"/>
      <c r="AE11" s="7"/>
      <c r="AF11" s="7"/>
      <c r="AG11" s="4"/>
      <c r="AH11" s="4"/>
      <c r="AI11" s="4"/>
      <c r="AJ11" s="4"/>
      <c r="AK11" s="21"/>
      <c r="AL11" s="4"/>
      <c r="AM11" s="4"/>
      <c r="AN11" s="4"/>
      <c r="AO11" s="4"/>
      <c r="AP11" s="4"/>
    </row>
    <row r="12" ht="4" customHeight="1" spans="1:42">
      <c r="A12" s="4"/>
      <c r="B12" s="11"/>
      <c r="C12" s="12"/>
      <c r="D12" s="12"/>
      <c r="E12" s="12"/>
      <c r="F12" s="12"/>
      <c r="G12" s="12"/>
      <c r="H12" s="12"/>
      <c r="I12" s="12"/>
      <c r="J12" s="1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4"/>
      <c r="Z12" s="7"/>
      <c r="AA12" s="7"/>
      <c r="AB12" s="7"/>
      <c r="AC12" s="7"/>
      <c r="AD12" s="7"/>
      <c r="AE12" s="7"/>
      <c r="AF12" s="7"/>
      <c r="AG12" s="4"/>
      <c r="AH12" s="4"/>
      <c r="AI12" s="4"/>
      <c r="AJ12" s="4"/>
      <c r="AK12" s="21"/>
      <c r="AL12" s="4"/>
      <c r="AM12" s="4"/>
      <c r="AN12" s="4"/>
      <c r="AO12" s="4"/>
      <c r="AP12" s="4"/>
    </row>
    <row r="13" customHeight="1" spans="1:42">
      <c r="A13" s="4"/>
      <c r="B13" s="11"/>
      <c r="C13" s="4" t="s">
        <v>256</v>
      </c>
      <c r="D13" s="12"/>
      <c r="E13" s="12"/>
      <c r="F13" s="12"/>
      <c r="G13" s="12"/>
      <c r="H13" s="12"/>
      <c r="I13" s="12"/>
      <c r="J13" s="12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4"/>
      <c r="AH13" s="4"/>
      <c r="AI13" s="4"/>
      <c r="AJ13" s="4"/>
      <c r="AK13" s="21"/>
      <c r="AL13" s="4"/>
      <c r="AM13" s="4"/>
      <c r="AN13" s="4"/>
      <c r="AO13" s="4"/>
      <c r="AP13" s="4"/>
    </row>
    <row r="14" ht="4" customHeight="1" spans="1:42">
      <c r="A14" s="4"/>
      <c r="B14" s="11"/>
      <c r="C14" s="4"/>
      <c r="D14" s="12"/>
      <c r="E14" s="12"/>
      <c r="F14" s="12"/>
      <c r="G14" s="12"/>
      <c r="H14" s="12"/>
      <c r="I14" s="12"/>
      <c r="J14" s="12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4"/>
      <c r="AH14" s="4"/>
      <c r="AI14" s="4"/>
      <c r="AJ14" s="4"/>
      <c r="AK14" s="21"/>
      <c r="AL14" s="4"/>
      <c r="AM14" s="4"/>
      <c r="AN14" s="4"/>
      <c r="AO14" s="4"/>
      <c r="AP14" s="4"/>
    </row>
    <row r="15" customHeight="1" spans="1:42">
      <c r="A15" s="4"/>
      <c r="B15" s="11"/>
      <c r="C15" s="12"/>
      <c r="D15" s="39" t="s">
        <v>98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1"/>
      <c r="S15" s="42" t="s">
        <v>125</v>
      </c>
      <c r="T15" s="42"/>
      <c r="U15" s="42"/>
      <c r="V15" s="42"/>
      <c r="W15" s="42"/>
      <c r="X15" s="42"/>
      <c r="Y15" s="42"/>
      <c r="Z15" s="42"/>
      <c r="AA15" s="42"/>
      <c r="AB15" s="4"/>
      <c r="AC15" s="4"/>
      <c r="AD15" s="4"/>
      <c r="AE15" s="4"/>
      <c r="AF15" s="4"/>
      <c r="AG15" s="4"/>
      <c r="AH15" s="4"/>
      <c r="AI15" s="4"/>
      <c r="AJ15" s="4"/>
      <c r="AK15" s="21"/>
      <c r="AL15" s="4"/>
      <c r="AM15" s="4"/>
      <c r="AN15" s="4"/>
      <c r="AO15" s="4"/>
      <c r="AP15" s="4"/>
    </row>
    <row r="16" customHeight="1" spans="1:42">
      <c r="A16" s="4"/>
      <c r="B16" s="11"/>
      <c r="C16" s="12"/>
      <c r="D16" s="42" t="s">
        <v>101</v>
      </c>
      <c r="E16" s="42"/>
      <c r="F16" s="42"/>
      <c r="G16" s="42" t="s">
        <v>126</v>
      </c>
      <c r="H16" s="42"/>
      <c r="I16" s="42"/>
      <c r="J16" s="42" t="s">
        <v>127</v>
      </c>
      <c r="K16" s="42"/>
      <c r="L16" s="42"/>
      <c r="M16" s="42" t="s">
        <v>128</v>
      </c>
      <c r="N16" s="42"/>
      <c r="O16" s="39"/>
      <c r="P16" s="43" t="s">
        <v>54</v>
      </c>
      <c r="Q16" s="40"/>
      <c r="R16" s="41"/>
      <c r="S16" s="42" t="s">
        <v>129</v>
      </c>
      <c r="T16" s="42"/>
      <c r="U16" s="42"/>
      <c r="V16" s="42" t="s">
        <v>130</v>
      </c>
      <c r="W16" s="42"/>
      <c r="X16" s="39"/>
      <c r="Y16" s="44" t="s">
        <v>54</v>
      </c>
      <c r="Z16" s="42"/>
      <c r="AA16" s="42"/>
      <c r="AB16" s="4"/>
      <c r="AC16" s="4"/>
      <c r="AD16" s="4"/>
      <c r="AE16" s="4"/>
      <c r="AF16" s="4"/>
      <c r="AG16" s="4"/>
      <c r="AH16" s="4"/>
      <c r="AI16" s="4"/>
      <c r="AJ16" s="4"/>
      <c r="AK16" s="21"/>
      <c r="AL16" s="4"/>
      <c r="AM16" s="4"/>
      <c r="AN16" s="4"/>
      <c r="AO16" s="4"/>
      <c r="AP16" s="4"/>
    </row>
    <row r="17" customHeight="1" spans="1:42">
      <c r="A17" s="4"/>
      <c r="B17" s="11"/>
      <c r="C17" s="4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6"/>
      <c r="P17" s="47">
        <f>SUM(D17:O17)</f>
        <v>0</v>
      </c>
      <c r="Q17" s="48"/>
      <c r="R17" s="49"/>
      <c r="S17" s="45"/>
      <c r="T17" s="45"/>
      <c r="U17" s="45"/>
      <c r="V17" s="45"/>
      <c r="W17" s="45"/>
      <c r="X17" s="46"/>
      <c r="Y17" s="50">
        <f>SUM(S17:X17)</f>
        <v>0</v>
      </c>
      <c r="Z17" s="51"/>
      <c r="AA17" s="51"/>
      <c r="AB17" s="4"/>
      <c r="AC17" s="4"/>
      <c r="AD17" s="4"/>
      <c r="AE17" s="4"/>
      <c r="AF17" s="4"/>
      <c r="AG17" s="4"/>
      <c r="AH17" s="4"/>
      <c r="AI17" s="4"/>
      <c r="AJ17" s="4"/>
      <c r="AK17" s="21"/>
      <c r="AL17" s="4"/>
      <c r="AM17" s="4"/>
      <c r="AN17" s="4"/>
      <c r="AO17" s="4"/>
      <c r="AP17" s="4"/>
    </row>
    <row r="18" ht="4" customHeight="1" spans="1:42">
      <c r="A18" s="4"/>
      <c r="B18" s="28"/>
      <c r="C18" s="29"/>
      <c r="D18" s="29"/>
      <c r="E18" s="29"/>
      <c r="F18" s="29"/>
      <c r="G18" s="29"/>
      <c r="H18" s="29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1"/>
      <c r="AL18" s="7"/>
      <c r="AM18" s="7"/>
      <c r="AN18" s="4"/>
      <c r="AO18" s="4"/>
      <c r="AP18" s="4"/>
    </row>
    <row r="19" ht="4" customHeight="1" spans="1:42">
      <c r="A19" s="4"/>
      <c r="B19" s="4"/>
      <c r="C19" s="12"/>
      <c r="D19" s="12"/>
      <c r="E19" s="12"/>
      <c r="F19" s="12"/>
      <c r="G19" s="12"/>
      <c r="H19" s="12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4"/>
      <c r="AO19" s="4"/>
      <c r="AP19" s="4"/>
    </row>
    <row r="20" customHeight="1" spans="1:42">
      <c r="A20" s="4"/>
      <c r="B20" s="4"/>
      <c r="C20" s="4"/>
      <c r="D20" s="4"/>
      <c r="E20" s="4"/>
      <c r="F20" s="4"/>
      <c r="G20" s="4"/>
      <c r="H20" s="4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customHeight="1" spans="1:42">
      <c r="A21" s="4"/>
      <c r="B21" s="3" t="s">
        <v>257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customHeight="1" spans="1:42">
      <c r="A22" s="4"/>
      <c r="B22" s="3" t="s">
        <v>28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customHeight="1" spans="1:42">
      <c r="A23" s="4"/>
      <c r="B23" s="6" t="s">
        <v>29</v>
      </c>
      <c r="C23" s="12"/>
      <c r="D23" s="12"/>
      <c r="E23" s="12"/>
      <c r="F23" s="12"/>
      <c r="G23" s="12"/>
      <c r="H23" s="12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4"/>
      <c r="AO23" s="4"/>
      <c r="AP23" s="4"/>
    </row>
    <row r="24" ht="4" customHeight="1" spans="1:42">
      <c r="A24" s="4"/>
      <c r="B24" s="4"/>
      <c r="C24" s="12"/>
      <c r="D24" s="12"/>
      <c r="E24" s="12"/>
      <c r="F24" s="12"/>
      <c r="G24" s="12"/>
      <c r="H24" s="12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4"/>
      <c r="AO24" s="4"/>
      <c r="AP24" s="4"/>
    </row>
    <row r="25" ht="4" customHeight="1" spans="1:42">
      <c r="A25" s="4"/>
      <c r="B25" s="8"/>
      <c r="C25" s="52"/>
      <c r="D25" s="52"/>
      <c r="E25" s="52"/>
      <c r="F25" s="52"/>
      <c r="G25" s="52"/>
      <c r="H25" s="5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7"/>
      <c r="AK25" s="7"/>
      <c r="AL25" s="7"/>
      <c r="AM25" s="7"/>
      <c r="AN25" s="7"/>
      <c r="AO25" s="7"/>
      <c r="AP25" s="7"/>
    </row>
    <row r="26" customHeight="1" spans="1:42">
      <c r="A26" s="4"/>
      <c r="B26" s="11"/>
      <c r="C26" s="4" t="s">
        <v>258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21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7"/>
      <c r="AK26" s="7"/>
      <c r="AL26" s="7"/>
      <c r="AM26" s="7"/>
      <c r="AN26" s="7"/>
      <c r="AO26" s="7"/>
      <c r="AP26" s="7"/>
    </row>
    <row r="27" customHeight="1" spans="1:42">
      <c r="A27" s="4"/>
      <c r="B27" s="11"/>
      <c r="C27" s="4"/>
      <c r="D27" s="4" t="s">
        <v>259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53"/>
      <c r="X27" s="4"/>
      <c r="Y27" s="21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7"/>
      <c r="AK27" s="7"/>
      <c r="AL27" s="7"/>
      <c r="AM27" s="7"/>
      <c r="AN27" s="7"/>
      <c r="AO27" s="7"/>
      <c r="AP27" s="7"/>
    </row>
    <row r="28" customHeight="1" spans="1:42">
      <c r="A28" s="4"/>
      <c r="B28" s="11"/>
      <c r="C28" s="4"/>
      <c r="D28" s="4"/>
      <c r="E28" s="4" t="s">
        <v>260</v>
      </c>
      <c r="F28" s="4"/>
      <c r="G28" s="4"/>
      <c r="H28" s="4"/>
      <c r="I28" s="4"/>
      <c r="J28" s="4"/>
      <c r="K28" s="4"/>
      <c r="L28" s="13"/>
      <c r="M28" s="4"/>
      <c r="N28" s="4"/>
      <c r="O28" s="4"/>
      <c r="P28" s="4"/>
      <c r="Q28" s="4"/>
      <c r="R28" s="4"/>
      <c r="S28" s="4"/>
      <c r="T28" s="4"/>
      <c r="U28" s="4"/>
      <c r="V28" s="4"/>
      <c r="W28" s="37" t="b">
        <v>0</v>
      </c>
      <c r="X28" s="4"/>
      <c r="Y28" s="21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7"/>
    </row>
    <row r="29" customHeight="1" spans="1:42">
      <c r="A29" s="4"/>
      <c r="B29" s="11"/>
      <c r="C29" s="4"/>
      <c r="D29" s="4"/>
      <c r="E29" s="4" t="s">
        <v>261</v>
      </c>
      <c r="F29" s="4"/>
      <c r="G29" s="4"/>
      <c r="H29" s="4"/>
      <c r="I29" s="4"/>
      <c r="J29" s="4"/>
      <c r="K29" s="4"/>
      <c r="L29" s="13"/>
      <c r="M29" s="4"/>
      <c r="N29" s="4"/>
      <c r="O29" s="4"/>
      <c r="P29" s="4"/>
      <c r="Q29" s="4"/>
      <c r="R29" s="4"/>
      <c r="S29" s="4"/>
      <c r="T29" s="4"/>
      <c r="U29" s="4"/>
      <c r="V29" s="4"/>
      <c r="W29" s="54" t="b">
        <v>0</v>
      </c>
      <c r="X29" s="4"/>
      <c r="Y29" s="21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7"/>
      <c r="AK29" s="7"/>
      <c r="AL29" s="7"/>
      <c r="AM29" s="7"/>
      <c r="AN29" s="7"/>
      <c r="AO29" s="7"/>
      <c r="AP29" s="7"/>
    </row>
    <row r="30" customHeight="1" spans="1:42">
      <c r="A30" s="4"/>
      <c r="B30" s="11"/>
      <c r="C30" s="4"/>
      <c r="D30" s="4"/>
      <c r="E30" s="4" t="s">
        <v>262</v>
      </c>
      <c r="F30" s="4"/>
      <c r="G30" s="4"/>
      <c r="H30" s="4"/>
      <c r="I30" s="4"/>
      <c r="J30" s="4"/>
      <c r="K30" s="4"/>
      <c r="L30" s="4"/>
      <c r="M30" s="55"/>
      <c r="N30" s="56"/>
      <c r="O30" s="56"/>
      <c r="P30" s="56"/>
      <c r="Q30" s="56"/>
      <c r="R30" s="56"/>
      <c r="S30" s="56"/>
      <c r="T30" s="56"/>
      <c r="U30" s="56"/>
      <c r="V30" s="56"/>
      <c r="W30" s="57"/>
      <c r="X30" s="58"/>
      <c r="Y30" s="21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7"/>
      <c r="AK30" s="7"/>
      <c r="AL30" s="7"/>
      <c r="AM30" s="7"/>
      <c r="AN30" s="7"/>
      <c r="AO30" s="7"/>
      <c r="AP30" s="7"/>
    </row>
    <row r="31" ht="4" customHeight="1" spans="1:42">
      <c r="A31" s="4"/>
      <c r="B31" s="1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21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7"/>
      <c r="AK31" s="7"/>
      <c r="AL31" s="7"/>
      <c r="AM31" s="7"/>
      <c r="AN31" s="7"/>
      <c r="AO31" s="7"/>
      <c r="AP31" s="7"/>
    </row>
    <row r="32" customHeight="1" spans="1:42">
      <c r="A32" s="4"/>
      <c r="B32" s="11"/>
      <c r="C32" s="4"/>
      <c r="D32" s="4" t="s">
        <v>263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37" t="b">
        <v>0</v>
      </c>
      <c r="X32" s="4"/>
      <c r="Y32" s="21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7"/>
      <c r="AK32" s="7"/>
      <c r="AL32" s="7"/>
      <c r="AM32" s="7"/>
      <c r="AN32" s="7"/>
      <c r="AO32" s="7"/>
      <c r="AP32" s="7"/>
    </row>
    <row r="33" ht="4" customHeight="1" spans="1:42">
      <c r="A33" s="4"/>
      <c r="B33" s="1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3"/>
      <c r="X33" s="4"/>
      <c r="Y33" s="21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7"/>
      <c r="AK33" s="7"/>
      <c r="AL33" s="7"/>
      <c r="AM33" s="7"/>
      <c r="AN33" s="7"/>
      <c r="AO33" s="7"/>
      <c r="AP33" s="7"/>
    </row>
    <row r="34" customHeight="1" spans="1:42">
      <c r="A34" s="4"/>
      <c r="B34" s="11"/>
      <c r="C34" s="4"/>
      <c r="D34" s="4" t="s">
        <v>264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37" t="b">
        <v>0</v>
      </c>
      <c r="X34" s="4"/>
      <c r="Y34" s="21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7"/>
      <c r="AK34" s="7"/>
      <c r="AL34" s="7"/>
      <c r="AM34" s="7"/>
      <c r="AN34" s="7"/>
      <c r="AO34" s="7"/>
      <c r="AP34" s="7"/>
    </row>
    <row r="35" ht="4" customHeight="1" spans="1:42">
      <c r="A35" s="4"/>
      <c r="B35" s="11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53"/>
      <c r="X35" s="4"/>
      <c r="Y35" s="21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7"/>
      <c r="AK35" s="7"/>
      <c r="AL35" s="7"/>
      <c r="AM35" s="7"/>
      <c r="AN35" s="7"/>
      <c r="AO35" s="7"/>
      <c r="AP35" s="7"/>
    </row>
    <row r="36" customHeight="1" spans="1:42">
      <c r="A36" s="4"/>
      <c r="B36" s="11"/>
      <c r="C36" s="4" t="s">
        <v>265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37" t="b">
        <v>0</v>
      </c>
      <c r="X36" s="4"/>
      <c r="Y36" s="21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7"/>
      <c r="AK36" s="7"/>
      <c r="AL36" s="7"/>
      <c r="AM36" s="7"/>
      <c r="AN36" s="7"/>
      <c r="AO36" s="7"/>
      <c r="AP36" s="7"/>
    </row>
    <row r="37" ht="4" customHeight="1" spans="1:42">
      <c r="A37" s="4"/>
      <c r="B37" s="28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60"/>
      <c r="X37" s="59"/>
      <c r="Y37" s="61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ht="4" customHeight="1" spans="1:4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3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customHeight="1" spans="1:4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3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customHeight="1" spans="1:42">
      <c r="A40" s="4"/>
      <c r="B40" s="3" t="s">
        <v>266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customHeight="1" spans="1:42">
      <c r="A41" s="4"/>
      <c r="B41" s="3" t="s">
        <v>28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customHeight="1" spans="1:42">
      <c r="A42" s="4"/>
      <c r="B42" s="6" t="s">
        <v>267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ht="4" customHeight="1" spans="1:42">
      <c r="A43" s="4"/>
      <c r="B43" s="7"/>
      <c r="C43" s="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ht="4" customHeight="1" spans="1:42">
      <c r="A44" s="4"/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10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customHeight="1" spans="1:42">
      <c r="A45" s="4"/>
      <c r="B45" s="11"/>
      <c r="C45" s="325" t="s">
        <v>268</v>
      </c>
      <c r="D45" s="12"/>
      <c r="E45" s="12"/>
      <c r="F45" s="12"/>
      <c r="G45" s="12"/>
      <c r="H45" s="12"/>
      <c r="I45" s="12"/>
      <c r="J45" s="12"/>
      <c r="K45" s="7"/>
      <c r="L45" s="7"/>
      <c r="M45" s="7"/>
      <c r="N45" s="7"/>
      <c r="O45" s="7"/>
      <c r="P45" s="7"/>
      <c r="Q45" s="7"/>
      <c r="R45" s="7"/>
      <c r="S45" s="7"/>
      <c r="T45" s="38"/>
      <c r="U45" s="7"/>
      <c r="V45" s="13"/>
      <c r="W45" s="14"/>
      <c r="X45" s="7"/>
      <c r="Y45" s="7"/>
      <c r="Z45" s="7"/>
      <c r="AA45" s="7"/>
      <c r="AB45" s="7"/>
      <c r="AC45" s="7"/>
      <c r="AD45" s="15"/>
      <c r="AE45" s="7"/>
      <c r="AF45" s="7"/>
      <c r="AG45" s="7"/>
      <c r="AH45" s="7"/>
      <c r="AI45" s="7"/>
      <c r="AJ45" s="7"/>
      <c r="AK45" s="7"/>
      <c r="AL45" s="7"/>
      <c r="AM45" s="7"/>
      <c r="AN45" s="4"/>
      <c r="AO45" s="4"/>
      <c r="AP45" s="4"/>
    </row>
    <row r="46" customHeight="1" spans="1:42">
      <c r="A46" s="4"/>
      <c r="B46" s="11"/>
      <c r="C46" s="4"/>
      <c r="D46" s="4" t="s">
        <v>269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37" t="b">
        <v>0</v>
      </c>
      <c r="U46" s="4"/>
      <c r="V46" s="18"/>
      <c r="W46" s="19"/>
      <c r="X46" s="4"/>
      <c r="Y46" s="4"/>
      <c r="Z46" s="4"/>
      <c r="AA46" s="4"/>
      <c r="AB46" s="4"/>
      <c r="AC46" s="4"/>
      <c r="AD46" s="21"/>
      <c r="AE46" s="4"/>
      <c r="AF46" s="4"/>
      <c r="AG46" s="7"/>
      <c r="AH46" s="7"/>
      <c r="AI46" s="7"/>
      <c r="AJ46" s="7"/>
      <c r="AK46" s="7"/>
      <c r="AL46" s="7"/>
      <c r="AM46" s="7"/>
      <c r="AN46" s="4"/>
      <c r="AO46" s="4"/>
      <c r="AP46" s="4"/>
    </row>
    <row r="47" customHeight="1" spans="1:42">
      <c r="A47" s="4"/>
      <c r="B47" s="11"/>
      <c r="C47" s="4"/>
      <c r="D47" s="4" t="s">
        <v>270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37" t="b">
        <v>0</v>
      </c>
      <c r="U47" s="4"/>
      <c r="V47" s="18"/>
      <c r="W47" s="19"/>
      <c r="X47" s="4"/>
      <c r="Y47" s="4"/>
      <c r="Z47" s="4"/>
      <c r="AA47" s="4"/>
      <c r="AB47" s="4"/>
      <c r="AC47" s="4"/>
      <c r="AD47" s="21"/>
      <c r="AE47" s="4"/>
      <c r="AF47" s="4"/>
      <c r="AG47" s="7"/>
      <c r="AH47" s="7"/>
      <c r="AI47" s="7"/>
      <c r="AJ47" s="7"/>
      <c r="AK47" s="7"/>
      <c r="AL47" s="7"/>
      <c r="AM47" s="7"/>
      <c r="AN47" s="4"/>
      <c r="AO47" s="4"/>
      <c r="AP47" s="4"/>
    </row>
    <row r="48" customHeight="1" spans="1:42">
      <c r="A48" s="4"/>
      <c r="B48" s="11"/>
      <c r="C48" s="4"/>
      <c r="D48" s="4" t="s">
        <v>271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37" t="b">
        <v>0</v>
      </c>
      <c r="U48" s="4"/>
      <c r="V48" s="18"/>
      <c r="W48" s="19"/>
      <c r="X48" s="4"/>
      <c r="Y48" s="4"/>
      <c r="Z48" s="4"/>
      <c r="AA48" s="4"/>
      <c r="AB48" s="4"/>
      <c r="AC48" s="4"/>
      <c r="AD48" s="21"/>
      <c r="AE48" s="4"/>
      <c r="AF48" s="4"/>
      <c r="AG48" s="7"/>
      <c r="AH48" s="7"/>
      <c r="AI48" s="7"/>
      <c r="AJ48" s="7"/>
      <c r="AK48" s="7"/>
      <c r="AL48" s="7"/>
      <c r="AM48" s="7"/>
      <c r="AN48" s="4"/>
      <c r="AO48" s="4"/>
      <c r="AP48" s="4"/>
    </row>
    <row r="49" customHeight="1" spans="1:42">
      <c r="A49" s="4"/>
      <c r="B49" s="11"/>
      <c r="C49" s="4"/>
      <c r="D49" s="4" t="s">
        <v>272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37" t="b">
        <v>0</v>
      </c>
      <c r="U49" s="4"/>
      <c r="V49" s="18"/>
      <c r="W49" s="19"/>
      <c r="X49" s="4"/>
      <c r="Y49" s="4"/>
      <c r="Z49" s="4"/>
      <c r="AA49" s="4"/>
      <c r="AB49" s="4"/>
      <c r="AC49" s="4"/>
      <c r="AD49" s="21"/>
      <c r="AE49" s="4"/>
      <c r="AF49" s="4"/>
      <c r="AG49" s="7"/>
      <c r="AH49" s="7"/>
      <c r="AI49" s="7"/>
      <c r="AJ49" s="7"/>
      <c r="AK49" s="7"/>
      <c r="AL49" s="7"/>
      <c r="AM49" s="7"/>
      <c r="AN49" s="4"/>
      <c r="AO49" s="4"/>
      <c r="AP49" s="4"/>
    </row>
    <row r="50" customHeight="1" spans="1:42">
      <c r="A50" s="4"/>
      <c r="B50" s="11"/>
      <c r="C50" s="4"/>
      <c r="D50" s="4" t="s">
        <v>273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37" t="b">
        <v>0</v>
      </c>
      <c r="U50" s="4"/>
      <c r="V50" s="18"/>
      <c r="W50" s="19"/>
      <c r="X50" s="4"/>
      <c r="Y50" s="4"/>
      <c r="Z50" s="4"/>
      <c r="AA50" s="4"/>
      <c r="AB50" s="4"/>
      <c r="AC50" s="4"/>
      <c r="AD50" s="21"/>
      <c r="AE50" s="4"/>
      <c r="AF50" s="4"/>
      <c r="AG50" s="7"/>
      <c r="AH50" s="7"/>
      <c r="AI50" s="7"/>
      <c r="AJ50" s="7"/>
      <c r="AK50" s="7"/>
      <c r="AL50" s="7"/>
      <c r="AM50" s="7"/>
      <c r="AN50" s="4"/>
      <c r="AO50" s="4"/>
      <c r="AP50" s="4"/>
    </row>
    <row r="51" customHeight="1" spans="1:42">
      <c r="A51" s="4"/>
      <c r="B51" s="11"/>
      <c r="C51" s="12"/>
      <c r="D51" s="4" t="s">
        <v>274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37" t="b">
        <v>0</v>
      </c>
      <c r="U51" s="4"/>
      <c r="V51" s="4"/>
      <c r="W51" s="4"/>
      <c r="X51" s="4"/>
      <c r="Y51" s="4"/>
      <c r="Z51" s="4"/>
      <c r="AA51" s="4"/>
      <c r="AB51" s="4"/>
      <c r="AC51" s="4"/>
      <c r="AD51" s="21"/>
      <c r="AE51" s="4"/>
      <c r="AF51" s="4"/>
      <c r="AG51" s="7"/>
      <c r="AH51" s="7"/>
      <c r="AI51" s="7"/>
      <c r="AJ51" s="7"/>
      <c r="AK51" s="7"/>
      <c r="AL51" s="7"/>
      <c r="AM51" s="7"/>
      <c r="AN51" s="4"/>
      <c r="AO51" s="4"/>
      <c r="AP51" s="4"/>
    </row>
    <row r="52" customHeight="1" spans="1:42">
      <c r="A52" s="4"/>
      <c r="B52" s="11"/>
      <c r="C52" s="12"/>
      <c r="D52" s="4" t="s">
        <v>275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37" t="b">
        <v>0</v>
      </c>
      <c r="U52" s="4"/>
      <c r="V52" s="4"/>
      <c r="W52" s="4"/>
      <c r="X52" s="4"/>
      <c r="Y52" s="4"/>
      <c r="Z52" s="4"/>
      <c r="AA52" s="4"/>
      <c r="AB52" s="4"/>
      <c r="AC52" s="4"/>
      <c r="AD52" s="21"/>
      <c r="AE52" s="4"/>
      <c r="AF52" s="4"/>
      <c r="AG52" s="7"/>
      <c r="AH52" s="7"/>
      <c r="AI52" s="7"/>
      <c r="AJ52" s="7"/>
      <c r="AK52" s="7"/>
      <c r="AL52" s="7"/>
      <c r="AM52" s="7"/>
      <c r="AN52" s="4"/>
      <c r="AO52" s="4"/>
      <c r="AP52" s="4"/>
    </row>
    <row r="53" customHeight="1" spans="1:42">
      <c r="A53" s="4"/>
      <c r="B53" s="11"/>
      <c r="C53" s="1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53"/>
      <c r="U53" s="4"/>
      <c r="V53" s="4"/>
      <c r="W53" s="4"/>
      <c r="X53" s="4"/>
      <c r="Y53" s="4"/>
      <c r="Z53" s="4"/>
      <c r="AA53" s="4"/>
      <c r="AB53" s="4"/>
      <c r="AC53" s="4"/>
      <c r="AD53" s="21"/>
      <c r="AE53" s="4"/>
      <c r="AF53" s="4"/>
      <c r="AG53" s="7"/>
      <c r="AH53" s="7"/>
      <c r="AI53" s="7"/>
      <c r="AJ53" s="7"/>
      <c r="AK53" s="7"/>
      <c r="AL53" s="7"/>
      <c r="AM53" s="7"/>
      <c r="AN53" s="4"/>
      <c r="AO53" s="4"/>
      <c r="AP53" s="4"/>
    </row>
    <row r="54" customHeight="1" spans="1:42">
      <c r="A54" s="4"/>
      <c r="B54" s="11"/>
      <c r="C54" s="4" t="s">
        <v>276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4"/>
      <c r="R54" s="7"/>
      <c r="S54" s="7"/>
      <c r="T54" s="38"/>
      <c r="U54" s="7"/>
      <c r="V54" s="7"/>
      <c r="W54" s="7"/>
      <c r="X54" s="4"/>
      <c r="Y54" s="7"/>
      <c r="Z54" s="7"/>
      <c r="AA54" s="7"/>
      <c r="AB54" s="7"/>
      <c r="AC54" s="7"/>
      <c r="AD54" s="15"/>
      <c r="AE54" s="7"/>
      <c r="AF54" s="7"/>
      <c r="AG54" s="7"/>
      <c r="AH54" s="7"/>
      <c r="AI54" s="7"/>
      <c r="AJ54" s="7"/>
      <c r="AK54" s="7"/>
      <c r="AL54" s="7"/>
      <c r="AM54" s="7"/>
      <c r="AN54" s="4"/>
      <c r="AO54" s="4"/>
      <c r="AP54" s="4"/>
    </row>
    <row r="55" customHeight="1" spans="1:42">
      <c r="A55" s="4"/>
      <c r="B55" s="11"/>
      <c r="C55" s="4"/>
      <c r="D55" s="4" t="s">
        <v>277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4"/>
      <c r="R55" s="7"/>
      <c r="S55" s="7"/>
      <c r="T55" s="37" t="b">
        <v>0</v>
      </c>
      <c r="U55" s="7"/>
      <c r="V55" s="13"/>
      <c r="W55" s="7"/>
      <c r="X55" s="4"/>
      <c r="Y55" s="7"/>
      <c r="Z55" s="7"/>
      <c r="AA55" s="7"/>
      <c r="AB55" s="7"/>
      <c r="AC55" s="7"/>
      <c r="AD55" s="15"/>
      <c r="AE55" s="7"/>
      <c r="AF55" s="7"/>
      <c r="AG55" s="7"/>
      <c r="AH55" s="7"/>
      <c r="AI55" s="7"/>
      <c r="AJ55" s="7"/>
      <c r="AK55" s="7"/>
      <c r="AL55" s="7"/>
      <c r="AM55" s="7"/>
      <c r="AN55" s="4"/>
      <c r="AO55" s="4"/>
      <c r="AP55" s="4"/>
    </row>
    <row r="56" customHeight="1" spans="1:42">
      <c r="A56" s="4"/>
      <c r="B56" s="11"/>
      <c r="C56" s="4"/>
      <c r="D56" s="4" t="s">
        <v>278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4"/>
      <c r="R56" s="7"/>
      <c r="S56" s="7"/>
      <c r="T56" s="37" t="b">
        <v>0</v>
      </c>
      <c r="U56" s="7"/>
      <c r="V56" s="13"/>
      <c r="W56" s="7"/>
      <c r="X56" s="4"/>
      <c r="Y56" s="7"/>
      <c r="Z56" s="7"/>
      <c r="AA56" s="7"/>
      <c r="AB56" s="7"/>
      <c r="AC56" s="7"/>
      <c r="AD56" s="15"/>
      <c r="AE56" s="7"/>
      <c r="AF56" s="7"/>
      <c r="AG56" s="7"/>
      <c r="AH56" s="7"/>
      <c r="AI56" s="7"/>
      <c r="AJ56" s="7"/>
      <c r="AK56" s="7"/>
      <c r="AL56" s="7"/>
      <c r="AM56" s="7"/>
      <c r="AN56" s="4"/>
      <c r="AO56" s="4"/>
      <c r="AP56" s="4"/>
    </row>
    <row r="57" customHeight="1" spans="1:42">
      <c r="A57" s="4"/>
      <c r="B57" s="11"/>
      <c r="C57" s="4"/>
      <c r="D57" s="4" t="s">
        <v>279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4"/>
      <c r="R57" s="7"/>
      <c r="S57" s="7"/>
      <c r="T57" s="37" t="b">
        <v>0</v>
      </c>
      <c r="U57" s="7"/>
      <c r="V57" s="13"/>
      <c r="W57" s="7"/>
      <c r="X57" s="4"/>
      <c r="Y57" s="7"/>
      <c r="Z57" s="7"/>
      <c r="AA57" s="7"/>
      <c r="AB57" s="7"/>
      <c r="AC57" s="7"/>
      <c r="AD57" s="15"/>
      <c r="AE57" s="7"/>
      <c r="AF57" s="7"/>
      <c r="AG57" s="7"/>
      <c r="AH57" s="7"/>
      <c r="AI57" s="7"/>
      <c r="AJ57" s="7"/>
      <c r="AK57" s="7"/>
      <c r="AL57" s="7"/>
      <c r="AM57" s="7"/>
      <c r="AN57" s="4"/>
      <c r="AO57" s="4"/>
      <c r="AP57" s="4"/>
    </row>
    <row r="58" customHeight="1" spans="1:42">
      <c r="A58" s="4"/>
      <c r="B58" s="11"/>
      <c r="C58" s="12"/>
      <c r="D58" s="4" t="s">
        <v>280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4"/>
      <c r="R58" s="7"/>
      <c r="S58" s="7"/>
      <c r="T58" s="37" t="b">
        <v>0</v>
      </c>
      <c r="U58" s="7"/>
      <c r="V58" s="13"/>
      <c r="W58" s="7"/>
      <c r="X58" s="4"/>
      <c r="Y58" s="7"/>
      <c r="Z58" s="7"/>
      <c r="AA58" s="7"/>
      <c r="AB58" s="7"/>
      <c r="AC58" s="7"/>
      <c r="AD58" s="15"/>
      <c r="AE58" s="7"/>
      <c r="AF58" s="7"/>
      <c r="AG58" s="7"/>
      <c r="AH58" s="7"/>
      <c r="AI58" s="7"/>
      <c r="AJ58" s="7"/>
      <c r="AK58" s="7"/>
      <c r="AL58" s="7"/>
      <c r="AM58" s="7"/>
      <c r="AN58" s="4"/>
      <c r="AO58" s="4"/>
      <c r="AP58" s="4"/>
    </row>
    <row r="59" customHeight="1" spans="1:42">
      <c r="A59" s="4"/>
      <c r="B59" s="28"/>
      <c r="C59" s="29"/>
      <c r="D59" s="29"/>
      <c r="E59" s="29"/>
      <c r="F59" s="29"/>
      <c r="G59" s="29"/>
      <c r="H59" s="29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1"/>
      <c r="AE59" s="7"/>
      <c r="AF59" s="7"/>
      <c r="AG59" s="7"/>
      <c r="AH59" s="7"/>
      <c r="AI59" s="7"/>
      <c r="AJ59" s="7"/>
      <c r="AK59" s="7"/>
      <c r="AL59" s="7"/>
      <c r="AM59" s="7"/>
      <c r="AN59" s="4"/>
      <c r="AO59" s="4"/>
      <c r="AP59" s="4"/>
    </row>
    <row r="60" ht="4" customHeight="1" spans="1:42">
      <c r="A60" s="4"/>
      <c r="B60" s="4"/>
      <c r="C60" s="12"/>
      <c r="D60" s="12"/>
      <c r="E60" s="12"/>
      <c r="F60" s="12"/>
      <c r="G60" s="12"/>
      <c r="H60" s="12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4"/>
      <c r="AO60" s="4"/>
      <c r="AP60" s="4"/>
    </row>
    <row r="61" customHeight="1" spans="1:42">
      <c r="A61" s="4" t="s">
        <v>281</v>
      </c>
      <c r="B61" s="4"/>
      <c r="C61" s="4"/>
      <c r="D61" s="4"/>
      <c r="E61" s="4"/>
      <c r="F61" s="4"/>
      <c r="G61" s="4"/>
      <c r="H61" s="4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4"/>
      <c r="AO61" s="4"/>
      <c r="AP61" s="4"/>
    </row>
    <row r="62" customHeight="1" spans="1:42">
      <c r="A62" s="4"/>
      <c r="B62" s="4"/>
      <c r="C62" s="4"/>
      <c r="D62" s="4" t="s">
        <v>282</v>
      </c>
      <c r="E62" s="4"/>
      <c r="F62" s="4"/>
      <c r="G62" s="4"/>
      <c r="H62" s="4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4"/>
      <c r="AO62" s="4"/>
      <c r="AP62" s="4"/>
    </row>
    <row r="63" customHeight="1" spans="1:42">
      <c r="A63" s="4"/>
      <c r="B63" s="4"/>
      <c r="C63" s="4"/>
      <c r="D63" s="4" t="s">
        <v>283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customHeight="1" spans="1:4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customHeight="1" spans="1:42">
      <c r="A65" s="4" t="s">
        <v>284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customHeight="1" spans="1:42">
      <c r="A66" s="4"/>
      <c r="B66" s="4"/>
      <c r="C66" s="4"/>
      <c r="D66" s="4" t="s">
        <v>285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customHeight="1" spans="1:42">
      <c r="A67" s="4"/>
      <c r="B67" s="4"/>
      <c r="C67" s="4"/>
      <c r="D67" s="4" t="s">
        <v>286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customHeight="1" spans="1:42">
      <c r="A68" s="4"/>
      <c r="B68" s="4"/>
      <c r="C68" s="4"/>
      <c r="D68" s="4" t="s">
        <v>287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customHeight="1" spans="1:42">
      <c r="A69" s="4"/>
      <c r="B69" s="4"/>
      <c r="C69" s="4"/>
      <c r="D69" s="4" t="s">
        <v>288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</sheetData>
  <sheetProtection algorithmName="SHA-512" hashValue="DTWIOnqgWCwK/YuGExke1LlVy2cmejuw03I/90u9z/RNhHHbNXdHqC16FfWkXhLiFyKoU9RNbCIAdsNCf0rVug==" saltValue="fra7fUtzJOrj1jupe3HCwg==" spinCount="100000" sheet="1" objects="1" scenarios="1"/>
  <protectedRanges>
    <protectedRange sqref="Z6 Z9:Z11 D17:O17 S17:X17 W28:W29 M30 W32 W34 W36 T46:T52 T55:T58" name="IX. Boxes 7 to 9"/>
  </protectedRanges>
  <mergeCells count="19">
    <mergeCell ref="D15:R15"/>
    <mergeCell ref="S15:AA15"/>
    <mergeCell ref="D16:F16"/>
    <mergeCell ref="G16:I16"/>
    <mergeCell ref="J16:L16"/>
    <mergeCell ref="M16:O16"/>
    <mergeCell ref="P16:R16"/>
    <mergeCell ref="S16:U16"/>
    <mergeCell ref="V16:X16"/>
    <mergeCell ref="Y16:AA16"/>
    <mergeCell ref="D17:F17"/>
    <mergeCell ref="G17:I17"/>
    <mergeCell ref="J17:L17"/>
    <mergeCell ref="M17:O17"/>
    <mergeCell ref="P17:R17"/>
    <mergeCell ref="S17:U17"/>
    <mergeCell ref="V17:X17"/>
    <mergeCell ref="Y17:AA17"/>
    <mergeCell ref="M30:W30"/>
  </mergeCells>
  <dataValidations count="1">
    <dataValidation type="whole" operator="between" allowBlank="1" showInputMessage="1" showErrorMessage="1" errorTitle="GSP SY 2025-2026" error="Please enter a valid number from 0 to 20,000." sqref="D17:O17 S17:X17">
      <formula1>0</formula1>
      <formula2>20000</formula2>
    </dataValidation>
  </dataValidations>
  <printOptions horizontalCentered="1"/>
  <pageMargins left="0.15748031496063" right="0.15748031496063" top="0.15748031496063" bottom="0.31496062992126" header="0.31496062992126" footer="0.15748031496063"/>
  <pageSetup paperSize="9" scale="112" orientation="portrait"/>
  <headerFooter>
    <oddFooter>&amp;LGSP, SY 2025-2026&amp;RPage 54 of 85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name="Check Box 1" r:id="rId3">
              <controlPr defaultSize="0">
                <anchor moveWithCells="1">
                  <from>
                    <xdr:col>24</xdr:col>
                    <xdr:colOff>133350</xdr:colOff>
                    <xdr:row>4</xdr:row>
                    <xdr:rowOff>12700</xdr:rowOff>
                  </from>
                  <to>
                    <xdr:col>26</xdr:col>
                    <xdr:colOff>12700</xdr:colOff>
                    <xdr:row>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name="Check Box 2" r:id="rId4">
              <controlPr defaultSize="0">
                <anchor moveWithCells="1">
                  <from>
                    <xdr:col>24</xdr:col>
                    <xdr:colOff>133350</xdr:colOff>
                    <xdr:row>7</xdr:row>
                    <xdr:rowOff>114300</xdr:rowOff>
                  </from>
                  <to>
                    <xdr:col>26</xdr:col>
                    <xdr:colOff>12700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name="Check Box 3" r:id="rId5">
              <controlPr defaultSize="0">
                <anchor moveWithCells="1">
                  <from>
                    <xdr:col>24</xdr:col>
                    <xdr:colOff>133350</xdr:colOff>
                    <xdr:row>8</xdr:row>
                    <xdr:rowOff>114300</xdr:rowOff>
                  </from>
                  <to>
                    <xdr:col>26</xdr:col>
                    <xdr:colOff>12700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name="Check Box 4" r:id="rId6">
              <controlPr defaultSize="0">
                <anchor moveWithCells="1">
                  <from>
                    <xdr:col>24</xdr:col>
                    <xdr:colOff>133350</xdr:colOff>
                    <xdr:row>9</xdr:row>
                    <xdr:rowOff>114300</xdr:rowOff>
                  </from>
                  <to>
                    <xdr:col>26</xdr:col>
                    <xdr:colOff>12700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name="Check Box 5" r:id="rId7">
              <controlPr defaultSize="0">
                <anchor moveWithCells="1">
                  <from>
                    <xdr:col>21</xdr:col>
                    <xdr:colOff>146050</xdr:colOff>
                    <xdr:row>26</xdr:row>
                    <xdr:rowOff>127000</xdr:rowOff>
                  </from>
                  <to>
                    <xdr:col>23</xdr:col>
                    <xdr:colOff>12700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name="Check Box 6" r:id="rId8">
              <controlPr defaultSize="0">
                <anchor moveWithCells="1">
                  <from>
                    <xdr:col>21</xdr:col>
                    <xdr:colOff>146050</xdr:colOff>
                    <xdr:row>27</xdr:row>
                    <xdr:rowOff>127000</xdr:rowOff>
                  </from>
                  <to>
                    <xdr:col>23</xdr:col>
                    <xdr:colOff>12700</xdr:colOff>
                    <xdr:row>29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name="Check Box 7" r:id="rId9">
              <controlPr defaultSize="0">
                <anchor moveWithCells="1">
                  <from>
                    <xdr:col>21</xdr:col>
                    <xdr:colOff>146050</xdr:colOff>
                    <xdr:row>30</xdr:row>
                    <xdr:rowOff>19050</xdr:rowOff>
                  </from>
                  <to>
                    <xdr:col>23</xdr:col>
                    <xdr:colOff>12700</xdr:colOff>
                    <xdr:row>32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name="Check Box 8" r:id="rId10">
              <controlPr defaultSize="0">
                <anchor moveWithCells="1">
                  <from>
                    <xdr:col>21</xdr:col>
                    <xdr:colOff>146050</xdr:colOff>
                    <xdr:row>32</xdr:row>
                    <xdr:rowOff>19050</xdr:rowOff>
                  </from>
                  <to>
                    <xdr:col>23</xdr:col>
                    <xdr:colOff>12700</xdr:colOff>
                    <xdr:row>34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name="Check Box 9" r:id="rId11">
              <controlPr defaultSize="0">
                <anchor moveWithCells="1">
                  <from>
                    <xdr:col>21</xdr:col>
                    <xdr:colOff>146050</xdr:colOff>
                    <xdr:row>34</xdr:row>
                    <xdr:rowOff>19050</xdr:rowOff>
                  </from>
                  <to>
                    <xdr:col>23</xdr:col>
                    <xdr:colOff>12700</xdr:colOff>
                    <xdr:row>36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name="Check Box 10" r:id="rId12">
              <controlPr defaultSize="0">
                <anchor moveWithCells="1">
                  <from>
                    <xdr:col>18</xdr:col>
                    <xdr:colOff>127000</xdr:colOff>
                    <xdr:row>44</xdr:row>
                    <xdr:rowOff>114300</xdr:rowOff>
                  </from>
                  <to>
                    <xdr:col>20</xdr:col>
                    <xdr:colOff>0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name="Check Box 11" r:id="rId13">
              <controlPr defaultSize="0">
                <anchor moveWithCells="1">
                  <from>
                    <xdr:col>18</xdr:col>
                    <xdr:colOff>127000</xdr:colOff>
                    <xdr:row>45</xdr:row>
                    <xdr:rowOff>114300</xdr:rowOff>
                  </from>
                  <to>
                    <xdr:col>20</xdr:col>
                    <xdr:colOff>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name="Check Box 12" r:id="rId14">
              <controlPr defaultSize="0">
                <anchor moveWithCells="1">
                  <from>
                    <xdr:col>18</xdr:col>
                    <xdr:colOff>127000</xdr:colOff>
                    <xdr:row>46</xdr:row>
                    <xdr:rowOff>114300</xdr:rowOff>
                  </from>
                  <to>
                    <xdr:col>20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name="Check Box 13" r:id="rId15">
              <controlPr defaultSize="0">
                <anchor moveWithCells="1">
                  <from>
                    <xdr:col>18</xdr:col>
                    <xdr:colOff>127000</xdr:colOff>
                    <xdr:row>47</xdr:row>
                    <xdr:rowOff>114300</xdr:rowOff>
                  </from>
                  <to>
                    <xdr:col>20</xdr:col>
                    <xdr:colOff>0</xdr:colOff>
                    <xdr:row>49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name="Check Box 14" r:id="rId16">
              <controlPr defaultSize="0">
                <anchor moveWithCells="1">
                  <from>
                    <xdr:col>18</xdr:col>
                    <xdr:colOff>127000</xdr:colOff>
                    <xdr:row>48</xdr:row>
                    <xdr:rowOff>114300</xdr:rowOff>
                  </from>
                  <to>
                    <xdr:col>20</xdr:col>
                    <xdr:colOff>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name="Check Box 15" r:id="rId17">
              <controlPr defaultSize="0">
                <anchor moveWithCells="1">
                  <from>
                    <xdr:col>18</xdr:col>
                    <xdr:colOff>127000</xdr:colOff>
                    <xdr:row>49</xdr:row>
                    <xdr:rowOff>114300</xdr:rowOff>
                  </from>
                  <to>
                    <xdr:col>20</xdr:col>
                    <xdr:colOff>0</xdr:colOff>
                    <xdr:row>51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name="Check Box 16" r:id="rId18">
              <controlPr defaultSize="0">
                <anchor moveWithCells="1">
                  <from>
                    <xdr:col>18</xdr:col>
                    <xdr:colOff>127000</xdr:colOff>
                    <xdr:row>50</xdr:row>
                    <xdr:rowOff>114300</xdr:rowOff>
                  </from>
                  <to>
                    <xdr:col>20</xdr:col>
                    <xdr:colOff>0</xdr:colOff>
                    <xdr:row>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name="Check Box 17" r:id="rId19">
              <controlPr defaultSize="0">
                <anchor moveWithCells="1">
                  <from>
                    <xdr:col>18</xdr:col>
                    <xdr:colOff>127000</xdr:colOff>
                    <xdr:row>53</xdr:row>
                    <xdr:rowOff>114300</xdr:rowOff>
                  </from>
                  <to>
                    <xdr:col>20</xdr:col>
                    <xdr:colOff>0</xdr:colOff>
                    <xdr:row>55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name="Check Box 18" r:id="rId20">
              <controlPr defaultSize="0">
                <anchor moveWithCells="1">
                  <from>
                    <xdr:col>18</xdr:col>
                    <xdr:colOff>127000</xdr:colOff>
                    <xdr:row>54</xdr:row>
                    <xdr:rowOff>114300</xdr:rowOff>
                  </from>
                  <to>
                    <xdr:col>20</xdr:col>
                    <xdr:colOff>0</xdr:colOff>
                    <xdr:row>56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name="Check Box 19" r:id="rId21">
              <controlPr defaultSize="0">
                <anchor moveWithCells="1">
                  <from>
                    <xdr:col>18</xdr:col>
                    <xdr:colOff>127000</xdr:colOff>
                    <xdr:row>55</xdr:row>
                    <xdr:rowOff>114300</xdr:rowOff>
                  </from>
                  <to>
                    <xdr:col>20</xdr:col>
                    <xdr:colOff>0</xdr:colOff>
                    <xdr:row>57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name="Check Box 20" r:id="rId22">
              <controlPr defaultSize="0">
                <anchor moveWithCells="1">
                  <from>
                    <xdr:col>18</xdr:col>
                    <xdr:colOff>127000</xdr:colOff>
                    <xdr:row>56</xdr:row>
                    <xdr:rowOff>114300</xdr:rowOff>
                  </from>
                  <to>
                    <xdr:col>20</xdr:col>
                    <xdr:colOff>0</xdr:colOff>
                    <xdr:row>58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F09A"/>
  </sheetPr>
  <dimension ref="A1:AI40"/>
  <sheetViews>
    <sheetView view="pageBreakPreview" zoomScaleNormal="100" workbookViewId="0">
      <selection activeCell="N12" sqref="N12"/>
    </sheetView>
  </sheetViews>
  <sheetFormatPr defaultColWidth="2.18181818181818" defaultRowHeight="12" customHeight="1"/>
  <cols>
    <col min="1" max="2" width="0.454545454545455" style="2" customWidth="1"/>
    <col min="3" max="3" width="2.18181818181818" style="2" customWidth="1"/>
    <col min="4" max="6" width="2.18181818181818" style="2"/>
    <col min="7" max="8" width="2.18181818181818" style="2" customWidth="1"/>
    <col min="9" max="13" width="2.27272727272727" style="2" customWidth="1"/>
    <col min="14" max="19" width="3.72727272727273" style="2" customWidth="1"/>
    <col min="20" max="35" width="2.27272727272727" style="2" customWidth="1"/>
    <col min="36" max="36" width="0.272727272727273" style="2" customWidth="1"/>
    <col min="37" max="38" width="2.18181818181818" style="2"/>
    <col min="39" max="39" width="0.272727272727273" style="2" customWidth="1"/>
    <col min="40" max="16384" width="2.18181818181818" style="2"/>
  </cols>
  <sheetData>
    <row r="1" customHeight="1" spans="1:34">
      <c r="A1" s="3" t="s">
        <v>289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</row>
    <row r="2" customHeight="1" spans="1:34">
      <c r="A2" s="3" t="s">
        <v>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</row>
    <row r="3" customHeight="1" spans="1:34">
      <c r="A3" s="6" t="s">
        <v>267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5"/>
    </row>
    <row r="4" ht="4" customHeight="1" spans="1:34">
      <c r="A4" s="4"/>
      <c r="B4" s="7"/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5"/>
    </row>
    <row r="5" ht="4" customHeight="1" spans="1:34">
      <c r="A5" s="4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5"/>
    </row>
    <row r="6" customHeight="1" spans="1:34">
      <c r="A6" s="4"/>
      <c r="B6" s="11"/>
      <c r="C6" s="325" t="s">
        <v>290</v>
      </c>
      <c r="D6" s="12"/>
      <c r="E6" s="12"/>
      <c r="F6" s="12"/>
      <c r="G6" s="12"/>
      <c r="H6" s="12"/>
      <c r="I6" s="12"/>
      <c r="J6" s="12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13"/>
      <c r="W6" s="14"/>
      <c r="X6" s="7"/>
      <c r="Y6" s="7"/>
      <c r="Z6" s="7"/>
      <c r="AA6" s="7"/>
      <c r="AB6" s="7"/>
      <c r="AC6" s="15"/>
      <c r="AD6" s="16"/>
      <c r="AE6" s="17"/>
      <c r="AF6" s="17"/>
      <c r="AG6" s="17"/>
      <c r="AH6" s="17"/>
    </row>
    <row r="7" customHeight="1" spans="1:34">
      <c r="A7" s="4"/>
      <c r="B7" s="11"/>
      <c r="C7" s="4"/>
      <c r="D7" s="4" t="s">
        <v>291</v>
      </c>
      <c r="E7" s="12"/>
      <c r="F7" s="12"/>
      <c r="G7" s="12"/>
      <c r="H7" s="12"/>
      <c r="I7" s="12"/>
      <c r="J7" s="12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13"/>
      <c r="W7" s="14"/>
      <c r="X7" s="7"/>
      <c r="Y7" s="7"/>
      <c r="Z7" s="7"/>
      <c r="AA7" s="7"/>
      <c r="AB7" s="7"/>
      <c r="AC7" s="15"/>
      <c r="AD7" s="16"/>
      <c r="AE7" s="17"/>
      <c r="AF7" s="17"/>
      <c r="AG7" s="17"/>
      <c r="AH7" s="17"/>
    </row>
    <row r="8" customHeight="1" spans="1:34">
      <c r="A8" s="4"/>
      <c r="B8" s="11"/>
      <c r="C8" s="4"/>
      <c r="D8" s="4" t="s">
        <v>292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18"/>
      <c r="W8" s="19"/>
      <c r="X8" s="4"/>
      <c r="Y8" s="4"/>
      <c r="Z8" s="4"/>
      <c r="AA8" s="4"/>
      <c r="AB8" s="20" t="b">
        <v>0</v>
      </c>
      <c r="AC8" s="21"/>
      <c r="AD8" s="16"/>
      <c r="AE8" s="17"/>
      <c r="AF8" s="17"/>
      <c r="AG8" s="17"/>
      <c r="AH8" s="17"/>
    </row>
    <row r="9" customHeight="1" spans="1:34">
      <c r="A9" s="4"/>
      <c r="B9" s="11"/>
      <c r="C9" s="4"/>
      <c r="D9" s="4" t="s">
        <v>293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8"/>
      <c r="W9" s="19"/>
      <c r="X9" s="4"/>
      <c r="Y9" s="4"/>
      <c r="Z9" s="4"/>
      <c r="AA9" s="4"/>
      <c r="AB9" s="20" t="b">
        <v>0</v>
      </c>
      <c r="AC9" s="21"/>
      <c r="AD9" s="16"/>
      <c r="AE9" s="17"/>
      <c r="AF9" s="17"/>
      <c r="AG9" s="17"/>
      <c r="AH9" s="17"/>
    </row>
    <row r="10" customHeight="1" spans="1:34">
      <c r="A10" s="4"/>
      <c r="B10" s="11"/>
      <c r="C10" s="4"/>
      <c r="D10" s="4" t="s">
        <v>294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18"/>
      <c r="W10" s="19"/>
      <c r="X10" s="4"/>
      <c r="Y10" s="4"/>
      <c r="Z10" s="4"/>
      <c r="AA10" s="4"/>
      <c r="AB10" s="20" t="b">
        <v>0</v>
      </c>
      <c r="AC10" s="21"/>
      <c r="AD10" s="16"/>
      <c r="AE10" s="17"/>
      <c r="AF10" s="17"/>
      <c r="AG10" s="17"/>
      <c r="AH10" s="17"/>
    </row>
    <row r="11" customHeight="1" spans="1:34">
      <c r="A11" s="4"/>
      <c r="B11" s="11"/>
      <c r="C11" s="4"/>
      <c r="D11" s="4" t="s">
        <v>295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18"/>
      <c r="W11" s="19"/>
      <c r="X11" s="4"/>
      <c r="Y11" s="4"/>
      <c r="Z11" s="4"/>
      <c r="AA11" s="4"/>
      <c r="AB11" s="20" t="b">
        <v>0</v>
      </c>
      <c r="AC11" s="21"/>
      <c r="AD11" s="16"/>
      <c r="AE11" s="17"/>
      <c r="AF11" s="17"/>
      <c r="AG11" s="17"/>
      <c r="AH11" s="17"/>
    </row>
    <row r="12" customHeight="1" spans="1:34">
      <c r="A12" s="4"/>
      <c r="B12" s="11"/>
      <c r="C12" s="4"/>
      <c r="D12" s="4" t="s">
        <v>296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18"/>
      <c r="W12" s="19"/>
      <c r="X12" s="4"/>
      <c r="Y12" s="4"/>
      <c r="Z12" s="4"/>
      <c r="AA12" s="4"/>
      <c r="AB12" s="20" t="b">
        <v>0</v>
      </c>
      <c r="AC12" s="21"/>
      <c r="AD12" s="16"/>
      <c r="AE12" s="17"/>
      <c r="AF12" s="17"/>
      <c r="AG12" s="17"/>
      <c r="AH12" s="17"/>
    </row>
    <row r="13" customHeight="1" spans="1:34">
      <c r="A13" s="4"/>
      <c r="B13" s="11"/>
      <c r="C13" s="12"/>
      <c r="D13" s="4" t="s">
        <v>297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20" t="b">
        <v>0</v>
      </c>
      <c r="AC13" s="21"/>
      <c r="AD13" s="16"/>
      <c r="AE13" s="17"/>
      <c r="AF13" s="17"/>
      <c r="AG13" s="17"/>
      <c r="AH13" s="17"/>
    </row>
    <row r="14" customHeight="1" spans="1:34">
      <c r="A14" s="4"/>
      <c r="B14" s="11"/>
      <c r="C14" s="12"/>
      <c r="D14" s="4" t="s">
        <v>298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20" t="b">
        <v>0</v>
      </c>
      <c r="AC14" s="21"/>
      <c r="AD14" s="16"/>
      <c r="AE14" s="17"/>
      <c r="AF14" s="17"/>
      <c r="AG14" s="17"/>
      <c r="AH14" s="17"/>
    </row>
    <row r="15" customHeight="1" spans="1:34">
      <c r="A15" s="4"/>
      <c r="B15" s="11"/>
      <c r="C15" s="12"/>
      <c r="D15" s="4" t="s">
        <v>299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20" t="b">
        <v>0</v>
      </c>
      <c r="AC15" s="21"/>
      <c r="AD15" s="16"/>
      <c r="AE15" s="17"/>
      <c r="AF15" s="17"/>
      <c r="AG15" s="17"/>
      <c r="AH15" s="17"/>
    </row>
    <row r="16" customHeight="1" spans="1:34">
      <c r="A16" s="4"/>
      <c r="B16" s="11"/>
      <c r="C16" s="12"/>
      <c r="D16" s="4" t="s">
        <v>300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20" t="b">
        <v>0</v>
      </c>
      <c r="AC16" s="21"/>
      <c r="AD16" s="16"/>
      <c r="AE16" s="17"/>
      <c r="AF16" s="17"/>
      <c r="AG16" s="17"/>
      <c r="AH16" s="17"/>
    </row>
    <row r="17" customHeight="1" spans="1:35">
      <c r="A17" s="4"/>
      <c r="B17" s="11"/>
      <c r="C17" s="12"/>
      <c r="D17" s="4" t="s">
        <v>301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20" t="b">
        <v>0</v>
      </c>
      <c r="AC17" s="21"/>
      <c r="AD17" s="16"/>
      <c r="AE17" s="17"/>
      <c r="AF17" s="17"/>
      <c r="AG17" s="17"/>
      <c r="AH17" s="17"/>
    </row>
    <row r="18" ht="4" customHeight="1" spans="1:35">
      <c r="A18" s="4"/>
      <c r="B18" s="11"/>
      <c r="C18" s="1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22"/>
      <c r="AC18" s="21"/>
      <c r="AD18" s="16"/>
      <c r="AE18" s="17"/>
      <c r="AF18" s="17"/>
      <c r="AG18" s="17"/>
      <c r="AH18" s="17"/>
    </row>
    <row r="19" s="1" customFormat="1" customHeight="1" spans="1:35">
      <c r="A19" s="23"/>
      <c r="B19" s="24"/>
      <c r="C19" s="4">
        <v>2</v>
      </c>
      <c r="D19" s="23" t="s">
        <v>302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5"/>
      <c r="AD19" s="26"/>
      <c r="AE19" s="27"/>
      <c r="AF19" s="27"/>
      <c r="AG19" s="27"/>
      <c r="AH19" s="27"/>
    </row>
    <row r="20" customHeight="1" spans="1:35">
      <c r="A20" s="4"/>
      <c r="B20" s="11"/>
      <c r="C20" s="4"/>
      <c r="D20" s="4" t="s">
        <v>303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4"/>
      <c r="R20" s="7"/>
      <c r="S20" s="7"/>
      <c r="T20" s="7"/>
      <c r="U20" s="7"/>
      <c r="V20" s="13"/>
      <c r="W20" s="7"/>
      <c r="X20" s="7"/>
      <c r="Y20" s="7"/>
      <c r="Z20" s="7"/>
      <c r="AA20" s="7"/>
      <c r="AB20" s="20" t="b">
        <v>0</v>
      </c>
      <c r="AC20" s="15"/>
      <c r="AD20" s="16"/>
      <c r="AE20" s="17"/>
      <c r="AF20" s="17"/>
      <c r="AG20" s="17"/>
      <c r="AH20" s="17"/>
    </row>
    <row r="21" customHeight="1" spans="1:35">
      <c r="A21" s="4"/>
      <c r="B21" s="11"/>
      <c r="C21" s="4"/>
      <c r="D21" s="4" t="s">
        <v>304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4"/>
      <c r="R21" s="7"/>
      <c r="S21" s="7"/>
      <c r="T21" s="7"/>
      <c r="U21" s="7"/>
      <c r="V21" s="13"/>
      <c r="W21" s="7"/>
      <c r="X21" s="7"/>
      <c r="Y21" s="7"/>
      <c r="Z21" s="7"/>
      <c r="AA21" s="7"/>
      <c r="AB21" s="20" t="b">
        <v>0</v>
      </c>
      <c r="AC21" s="15"/>
      <c r="AD21" s="16"/>
      <c r="AE21" s="17"/>
      <c r="AF21" s="17"/>
      <c r="AG21" s="17"/>
      <c r="AH21" s="17"/>
    </row>
    <row r="22" customHeight="1" spans="1:35">
      <c r="A22" s="4"/>
      <c r="B22" s="11"/>
      <c r="C22" s="4"/>
      <c r="D22" s="4" t="s">
        <v>305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4"/>
      <c r="R22" s="7"/>
      <c r="S22" s="7"/>
      <c r="T22" s="7"/>
      <c r="U22" s="7"/>
      <c r="V22" s="13"/>
      <c r="W22" s="7"/>
      <c r="X22" s="7"/>
      <c r="Y22" s="7"/>
      <c r="Z22" s="7"/>
      <c r="AA22" s="7"/>
      <c r="AB22" s="20" t="b">
        <v>0</v>
      </c>
      <c r="AC22" s="15"/>
      <c r="AD22" s="16"/>
      <c r="AE22" s="17"/>
      <c r="AF22" s="17"/>
      <c r="AG22" s="17"/>
      <c r="AH22" s="17"/>
    </row>
    <row r="23" customHeight="1" spans="1:35">
      <c r="A23" s="4"/>
      <c r="B23" s="11"/>
      <c r="C23" s="12"/>
      <c r="D23" s="4" t="s">
        <v>306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4"/>
      <c r="R23" s="7"/>
      <c r="S23" s="7"/>
      <c r="T23" s="7"/>
      <c r="U23" s="7"/>
      <c r="V23" s="13"/>
      <c r="W23" s="7"/>
      <c r="X23" s="7"/>
      <c r="Y23" s="7"/>
      <c r="Z23" s="7"/>
      <c r="AA23" s="7"/>
      <c r="AB23" s="20" t="b">
        <v>0</v>
      </c>
      <c r="AC23" s="15"/>
      <c r="AD23" s="16"/>
      <c r="AE23" s="17"/>
      <c r="AF23" s="17"/>
      <c r="AG23" s="17"/>
      <c r="AH23" s="17"/>
    </row>
    <row r="24" customHeight="1" spans="1:35">
      <c r="A24" s="4"/>
      <c r="B24" s="11"/>
      <c r="C24" s="12"/>
      <c r="D24" s="4" t="s">
        <v>307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4"/>
      <c r="R24" s="7"/>
      <c r="S24" s="7"/>
      <c r="T24" s="7"/>
      <c r="U24" s="7"/>
      <c r="V24" s="13"/>
      <c r="W24" s="7"/>
      <c r="X24" s="7"/>
      <c r="Y24" s="7"/>
      <c r="Z24" s="7"/>
      <c r="AA24" s="7"/>
      <c r="AB24" s="20" t="b">
        <v>0</v>
      </c>
      <c r="AC24" s="15"/>
      <c r="AD24" s="16"/>
      <c r="AE24" s="17"/>
      <c r="AF24" s="17"/>
      <c r="AG24" s="17"/>
      <c r="AH24" s="17"/>
    </row>
    <row r="25" ht="4" customHeight="1" spans="1:35">
      <c r="A25" s="4"/>
      <c r="B25" s="28"/>
      <c r="C25" s="29"/>
      <c r="D25" s="29"/>
      <c r="E25" s="29"/>
      <c r="F25" s="29"/>
      <c r="G25" s="29"/>
      <c r="H25" s="29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1"/>
      <c r="AD25" s="16"/>
      <c r="AE25" s="17"/>
      <c r="AF25" s="17"/>
      <c r="AG25" s="17"/>
      <c r="AH25" s="17"/>
      <c r="AI25" s="17"/>
    </row>
    <row r="26" ht="4" customHeight="1" spans="1:35">
      <c r="A26" s="4"/>
      <c r="B26" s="4"/>
      <c r="C26" s="12"/>
      <c r="D26" s="12"/>
      <c r="E26" s="12"/>
      <c r="F26" s="12"/>
      <c r="G26" s="12"/>
      <c r="H26" s="12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6"/>
      <c r="AE26" s="17"/>
      <c r="AF26" s="17"/>
      <c r="AG26" s="17"/>
      <c r="AH26" s="17"/>
      <c r="AI26" s="17"/>
    </row>
    <row r="27" customHeight="1" spans="1:35">
      <c r="A27" s="4"/>
      <c r="B27" s="4"/>
      <c r="C27" s="4"/>
      <c r="D27" s="4"/>
      <c r="E27" s="4"/>
      <c r="F27" s="4"/>
      <c r="G27" s="4"/>
      <c r="H27" s="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16"/>
      <c r="AE27" s="17"/>
      <c r="AF27" s="17"/>
      <c r="AG27" s="17"/>
      <c r="AH27" s="17"/>
      <c r="AI27" s="17"/>
    </row>
    <row r="28" customHeight="1" spans="1:35">
      <c r="A28" s="4"/>
      <c r="B28" s="3" t="s">
        <v>308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16"/>
      <c r="AE28" s="17"/>
      <c r="AF28" s="17"/>
      <c r="AG28" s="17"/>
      <c r="AH28" s="17"/>
      <c r="AI28" s="17"/>
    </row>
    <row r="29" customHeight="1" spans="1:35">
      <c r="A29" s="4"/>
      <c r="B29" s="3" t="s">
        <v>28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</row>
    <row r="30" customHeight="1" spans="1:35">
      <c r="A30" s="4"/>
      <c r="B30" s="6" t="s">
        <v>267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5"/>
    </row>
    <row r="31" ht="4" customHeight="1" spans="1:35">
      <c r="A31" s="4"/>
      <c r="B31" s="7"/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5"/>
    </row>
    <row r="32" ht="4" customHeight="1" spans="1:35">
      <c r="A32" s="4"/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5"/>
    </row>
    <row r="33" customHeight="1" spans="1:30">
      <c r="A33" s="4"/>
      <c r="B33" s="11"/>
      <c r="C33" s="325" t="s">
        <v>309</v>
      </c>
      <c r="D33" s="12"/>
      <c r="E33" s="12"/>
      <c r="F33" s="12"/>
      <c r="G33" s="12"/>
      <c r="H33" s="12"/>
      <c r="I33" s="12"/>
      <c r="J33" s="12"/>
      <c r="K33" s="7"/>
      <c r="L33" s="32"/>
      <c r="M33" s="7"/>
      <c r="N33" s="7"/>
      <c r="O33" s="7"/>
      <c r="P33" s="7"/>
      <c r="Q33" s="7"/>
      <c r="R33" s="7"/>
      <c r="S33" s="7"/>
      <c r="T33" s="7"/>
      <c r="U33" s="7"/>
      <c r="V33" s="13"/>
      <c r="W33" s="14"/>
      <c r="X33" s="7"/>
      <c r="Y33" s="7"/>
      <c r="Z33" s="7"/>
      <c r="AA33" s="7"/>
      <c r="AB33" s="7"/>
      <c r="AC33" s="15"/>
      <c r="AD33" s="5"/>
    </row>
    <row r="34" customHeight="1" spans="1:30">
      <c r="A34" s="4"/>
      <c r="B34" s="11"/>
      <c r="C34" s="4"/>
      <c r="D34" s="4" t="s">
        <v>310</v>
      </c>
      <c r="E34" s="4"/>
      <c r="F34" s="4"/>
      <c r="G34" s="4"/>
      <c r="H34" s="4"/>
      <c r="I34" s="4"/>
      <c r="J34" s="4"/>
      <c r="K34" s="4"/>
      <c r="L34" s="33" t="b">
        <v>0</v>
      </c>
      <c r="M34" s="4"/>
      <c r="N34" s="4"/>
      <c r="O34" s="4"/>
      <c r="P34" s="4"/>
      <c r="Q34" s="4"/>
      <c r="R34" s="4"/>
      <c r="S34" s="4"/>
      <c r="T34" s="4"/>
      <c r="U34" s="4"/>
      <c r="V34" s="18"/>
      <c r="W34" s="19"/>
      <c r="X34" s="4"/>
      <c r="Y34" s="4"/>
      <c r="Z34" s="4"/>
      <c r="AA34" s="4"/>
      <c r="AB34" s="13"/>
      <c r="AC34" s="21"/>
      <c r="AD34" s="5"/>
    </row>
    <row r="35" customHeight="1" spans="1:30">
      <c r="A35" s="4"/>
      <c r="B35" s="11"/>
      <c r="C35" s="4"/>
      <c r="D35" s="4" t="s">
        <v>311</v>
      </c>
      <c r="E35" s="4"/>
      <c r="F35" s="4"/>
      <c r="G35" s="4"/>
      <c r="H35" s="4"/>
      <c r="I35" s="4"/>
      <c r="J35" s="4"/>
      <c r="K35" s="4"/>
      <c r="L35" s="33" t="b">
        <v>0</v>
      </c>
      <c r="M35" s="4"/>
      <c r="N35" s="4"/>
      <c r="O35" s="4"/>
      <c r="P35" s="4"/>
      <c r="Q35" s="4"/>
      <c r="R35" s="4"/>
      <c r="S35" s="4"/>
      <c r="T35" s="4"/>
      <c r="U35" s="4"/>
      <c r="V35" s="18"/>
      <c r="W35" s="19"/>
      <c r="X35" s="4"/>
      <c r="Y35" s="4"/>
      <c r="Z35" s="4"/>
      <c r="AA35" s="4"/>
      <c r="AB35" s="13"/>
      <c r="AC35" s="21"/>
      <c r="AD35" s="5"/>
    </row>
    <row r="36" customHeight="1" spans="1:30">
      <c r="A36" s="4"/>
      <c r="B36" s="11"/>
      <c r="C36" s="4"/>
      <c r="D36" s="4" t="s">
        <v>312</v>
      </c>
      <c r="E36" s="4"/>
      <c r="F36" s="4"/>
      <c r="G36" s="4"/>
      <c r="H36" s="4"/>
      <c r="I36" s="4"/>
      <c r="J36" s="4"/>
      <c r="K36" s="4"/>
      <c r="L36" s="34" t="b">
        <v>0</v>
      </c>
      <c r="M36" s="4"/>
      <c r="N36" s="4"/>
      <c r="O36" s="4"/>
      <c r="P36" s="4"/>
      <c r="Q36" s="4"/>
      <c r="R36" s="4"/>
      <c r="S36" s="4"/>
      <c r="T36" s="4"/>
      <c r="U36" s="4"/>
      <c r="V36" s="18"/>
      <c r="W36" s="19"/>
      <c r="X36" s="4"/>
      <c r="Y36" s="4"/>
      <c r="Z36" s="4"/>
      <c r="AA36" s="4"/>
      <c r="AB36" s="13"/>
      <c r="AC36" s="21"/>
      <c r="AD36" s="5"/>
    </row>
    <row r="37" customHeight="1" spans="1:30">
      <c r="A37" s="4"/>
      <c r="B37" s="11"/>
      <c r="C37" s="4"/>
      <c r="D37" s="4" t="s">
        <v>313</v>
      </c>
      <c r="E37" s="4"/>
      <c r="F37" s="4"/>
      <c r="G37" s="4"/>
      <c r="H37" s="4"/>
      <c r="I37" s="4"/>
      <c r="J37" s="4"/>
      <c r="K37" s="4"/>
      <c r="L37" s="35"/>
      <c r="M37" s="36"/>
      <c r="N37" s="36"/>
      <c r="O37" s="36"/>
      <c r="P37" s="36"/>
      <c r="Q37" s="36"/>
      <c r="R37" s="36"/>
      <c r="S37" s="36"/>
      <c r="T37" s="36"/>
      <c r="U37" s="36"/>
      <c r="V37" s="18"/>
      <c r="W37" s="19"/>
      <c r="X37" s="4"/>
      <c r="Y37" s="4"/>
      <c r="Z37" s="4"/>
      <c r="AA37" s="4"/>
      <c r="AB37" s="13"/>
      <c r="AC37" s="21"/>
      <c r="AD37" s="5"/>
    </row>
    <row r="38" ht="4" customHeight="1" spans="1:30">
      <c r="A38" s="4"/>
      <c r="B38" s="28"/>
      <c r="C38" s="29"/>
      <c r="D38" s="29"/>
      <c r="E38" s="29"/>
      <c r="F38" s="29"/>
      <c r="G38" s="29"/>
      <c r="H38" s="29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1"/>
      <c r="AD38" s="5"/>
    </row>
    <row r="39" ht="4" customHeight="1" spans="1:3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customHeight="1" spans="1:3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</sheetData>
  <sheetProtection algorithmName="SHA-512" hashValue="W0hEn+zno5ab3xZfSvdqwvAWeT0ZDe5JkeZXxOWbQRxSx/3rVXpq4jqQzFMalKCcDUEOnlcpmvVs+TbdKXM44Q==" saltValue="GIJ5u4cZa5WxVNaCpamneA==" spinCount="100000" sheet="1" objects="1" scenarios="1"/>
  <protectedRanges>
    <protectedRange sqref="AB8:AB17 AB20:AB24 L34:L37" name="IX. Boxes 10 to 11"/>
  </protectedRanges>
  <mergeCells count="1">
    <mergeCell ref="L37:U37"/>
  </mergeCells>
  <printOptions horizontalCentered="1"/>
  <pageMargins left="0.708661417322835" right="0.708661417322835" top="0.748031496062992" bottom="0.748031496062992" header="0.31496062992126" footer="0.31496062992126"/>
  <pageSetup paperSize="9" scale="120" orientation="portrait"/>
  <headerFooter>
    <oddFooter>&amp;LGSP, SY 2025-2026&amp;RPage 55 of 85</oddFooter>
  </headerFooter>
  <colBreaks count="1" manualBreakCount="1">
    <brk id="30" max="37" man="1"/>
  </colBreak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name="Check Box 1" r:id="rId3">
              <controlPr defaultSize="0">
                <anchor moveWithCells="1">
                  <from>
                    <xdr:col>26</xdr:col>
                    <xdr:colOff>146050</xdr:colOff>
                    <xdr:row>6</xdr:row>
                    <xdr:rowOff>114300</xdr:rowOff>
                  </from>
                  <to>
                    <xdr:col>28</xdr:col>
                    <xdr:colOff>50800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name="Check Box 2" r:id="rId4">
              <controlPr defaultSize="0">
                <anchor moveWithCells="1">
                  <from>
                    <xdr:col>26</xdr:col>
                    <xdr:colOff>146050</xdr:colOff>
                    <xdr:row>7</xdr:row>
                    <xdr:rowOff>114300</xdr:rowOff>
                  </from>
                  <to>
                    <xdr:col>28</xdr:col>
                    <xdr:colOff>50800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name="Check Box 3" r:id="rId5">
              <controlPr defaultSize="0">
                <anchor moveWithCells="1">
                  <from>
                    <xdr:col>26</xdr:col>
                    <xdr:colOff>146050</xdr:colOff>
                    <xdr:row>8</xdr:row>
                    <xdr:rowOff>114300</xdr:rowOff>
                  </from>
                  <to>
                    <xdr:col>28</xdr:col>
                    <xdr:colOff>50800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name="Check Box 4" r:id="rId6">
              <controlPr defaultSize="0">
                <anchor moveWithCells="1">
                  <from>
                    <xdr:col>26</xdr:col>
                    <xdr:colOff>146050</xdr:colOff>
                    <xdr:row>9</xdr:row>
                    <xdr:rowOff>127000</xdr:rowOff>
                  </from>
                  <to>
                    <xdr:col>28</xdr:col>
                    <xdr:colOff>57150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name="Check Box 5" r:id="rId7">
              <controlPr defaultSize="0">
                <anchor moveWithCells="1">
                  <from>
                    <xdr:col>26</xdr:col>
                    <xdr:colOff>146050</xdr:colOff>
                    <xdr:row>10</xdr:row>
                    <xdr:rowOff>114300</xdr:rowOff>
                  </from>
                  <to>
                    <xdr:col>28</xdr:col>
                    <xdr:colOff>50800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name="Check Box 6" r:id="rId8">
              <controlPr defaultSize="0">
                <anchor moveWithCells="1">
                  <from>
                    <xdr:col>26</xdr:col>
                    <xdr:colOff>146050</xdr:colOff>
                    <xdr:row>11</xdr:row>
                    <xdr:rowOff>114300</xdr:rowOff>
                  </from>
                  <to>
                    <xdr:col>28</xdr:col>
                    <xdr:colOff>50800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name="Check Box 7" r:id="rId9">
              <controlPr defaultSize="0">
                <anchor moveWithCells="1">
                  <from>
                    <xdr:col>26</xdr:col>
                    <xdr:colOff>146050</xdr:colOff>
                    <xdr:row>12</xdr:row>
                    <xdr:rowOff>114300</xdr:rowOff>
                  </from>
                  <to>
                    <xdr:col>28</xdr:col>
                    <xdr:colOff>50800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name="Check Box 8" r:id="rId10">
              <controlPr defaultSize="0">
                <anchor moveWithCells="1">
                  <from>
                    <xdr:col>26</xdr:col>
                    <xdr:colOff>146050</xdr:colOff>
                    <xdr:row>13</xdr:row>
                    <xdr:rowOff>114300</xdr:rowOff>
                  </from>
                  <to>
                    <xdr:col>28</xdr:col>
                    <xdr:colOff>50800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name="Check Box 9" r:id="rId11">
              <controlPr defaultSize="0">
                <anchor moveWithCells="1">
                  <from>
                    <xdr:col>26</xdr:col>
                    <xdr:colOff>146050</xdr:colOff>
                    <xdr:row>14</xdr:row>
                    <xdr:rowOff>114300</xdr:rowOff>
                  </from>
                  <to>
                    <xdr:col>28</xdr:col>
                    <xdr:colOff>50800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name="Check Box 10" r:id="rId12">
              <controlPr defaultSize="0">
                <anchor moveWithCells="1">
                  <from>
                    <xdr:col>26</xdr:col>
                    <xdr:colOff>146050</xdr:colOff>
                    <xdr:row>15</xdr:row>
                    <xdr:rowOff>114300</xdr:rowOff>
                  </from>
                  <to>
                    <xdr:col>28</xdr:col>
                    <xdr:colOff>50800</xdr:colOff>
                    <xdr:row>17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name="Check Box 11" r:id="rId13">
              <controlPr defaultSize="0">
                <anchor moveWithCells="1">
                  <from>
                    <xdr:col>26</xdr:col>
                    <xdr:colOff>146050</xdr:colOff>
                    <xdr:row>18</xdr:row>
                    <xdr:rowOff>152400</xdr:rowOff>
                  </from>
                  <to>
                    <xdr:col>28</xdr:col>
                    <xdr:colOff>50800</xdr:colOff>
                    <xdr:row>20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name="Check Box 12" r:id="rId14">
              <controlPr defaultSize="0">
                <anchor moveWithCells="1">
                  <from>
                    <xdr:col>26</xdr:col>
                    <xdr:colOff>146050</xdr:colOff>
                    <xdr:row>19</xdr:row>
                    <xdr:rowOff>114300</xdr:rowOff>
                  </from>
                  <to>
                    <xdr:col>28</xdr:col>
                    <xdr:colOff>50800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name="Check Box 13" r:id="rId15">
              <controlPr defaultSize="0">
                <anchor moveWithCells="1">
                  <from>
                    <xdr:col>26</xdr:col>
                    <xdr:colOff>146050</xdr:colOff>
                    <xdr:row>20</xdr:row>
                    <xdr:rowOff>114300</xdr:rowOff>
                  </from>
                  <to>
                    <xdr:col>28</xdr:col>
                    <xdr:colOff>50800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name="Check Box 14" r:id="rId16">
              <controlPr defaultSize="0">
                <anchor moveWithCells="1">
                  <from>
                    <xdr:col>26</xdr:col>
                    <xdr:colOff>146050</xdr:colOff>
                    <xdr:row>21</xdr:row>
                    <xdr:rowOff>114300</xdr:rowOff>
                  </from>
                  <to>
                    <xdr:col>28</xdr:col>
                    <xdr:colOff>50800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name="Check Box 15" r:id="rId17">
              <controlPr defaultSize="0">
                <anchor moveWithCells="1">
                  <from>
                    <xdr:col>26</xdr:col>
                    <xdr:colOff>146050</xdr:colOff>
                    <xdr:row>22</xdr:row>
                    <xdr:rowOff>114300</xdr:rowOff>
                  </from>
                  <to>
                    <xdr:col>28</xdr:col>
                    <xdr:colOff>50800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name="Check Box 16" r:id="rId18">
              <controlPr defaultSize="0">
                <anchor moveWithCells="1">
                  <from>
                    <xdr:col>10</xdr:col>
                    <xdr:colOff>146050</xdr:colOff>
                    <xdr:row>32</xdr:row>
                    <xdr:rowOff>114300</xdr:rowOff>
                  </from>
                  <to>
                    <xdr:col>12</xdr:col>
                    <xdr:colOff>57150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name="Check Box 17" r:id="rId19">
              <controlPr defaultSize="0">
                <anchor moveWithCells="1">
                  <from>
                    <xdr:col>10</xdr:col>
                    <xdr:colOff>146050</xdr:colOff>
                    <xdr:row>33</xdr:row>
                    <xdr:rowOff>114300</xdr:rowOff>
                  </from>
                  <to>
                    <xdr:col>12</xdr:col>
                    <xdr:colOff>57150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name="Check Box 18" r:id="rId20">
              <controlPr defaultSize="0">
                <anchor moveWithCells="1">
                  <from>
                    <xdr:col>10</xdr:col>
                    <xdr:colOff>146050</xdr:colOff>
                    <xdr:row>34</xdr:row>
                    <xdr:rowOff>114300</xdr:rowOff>
                  </from>
                  <to>
                    <xdr:col>12</xdr:col>
                    <xdr:colOff>57150</xdr:colOff>
                    <xdr:row>36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Part IX. School Health" rangeCreator="" othersAccessPermission="edit"/>
  </rangeList>
  <rangeList sheetStid="4" master="" otherUserPermission="visible">
    <arrUserId title="IX. Box 1" rangeCreator="" othersAccessPermission="edit"/>
  </rangeList>
  <rangeList sheetStid="5" master="" otherUserPermission="visible"/>
  <rangeList sheetStid="6" master="" otherUserPermission="visible">
    <arrUserId title="IX. Table 1.A to 1.B" rangeCreator="" othersAccessPermission="edit"/>
  </rangeList>
  <rangeList sheetStid="7" master="" otherUserPermission="visible">
    <arrUserId title="IX. Table 1.C to 1.D" rangeCreator="" othersAccessPermission="edit"/>
  </rangeList>
  <rangeList sheetStid="8" master="" otherUserPermission="visible">
    <arrUserId title="IX. Boxes 2 to 3 Table 2" rangeCreator="" othersAccessPermission="edit"/>
  </rangeList>
  <rangeList sheetStid="9" master="" otherUserPermission="visible">
    <arrUserId title="IX. Box 4" rangeCreator="" othersAccessPermission="edit"/>
  </rangeList>
  <rangeList sheetStid="10" master="" otherUserPermission="visible">
    <arrUserId title="IX. Boxes 5 to 6" rangeCreator="" othersAccessPermission="edit"/>
  </rangeList>
  <rangeList sheetStid="11" master="" otherUserPermission="visible">
    <arrUserId title="IX. Boxes 7 to 9" rangeCreator="" othersAccessPermission="edit"/>
  </rangeList>
  <rangeList sheetStid="12" master="" otherUserPermission="visible">
    <arrUserId title="IX. Boxes 10 to 1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Part IX. School Health</vt:lpstr>
      <vt:lpstr>IX. Box 1</vt:lpstr>
      <vt:lpstr>IX. Box 1 Def</vt:lpstr>
      <vt:lpstr>IX. Table 1.A &amp; 1.B</vt:lpstr>
      <vt:lpstr>IX. Table 1.C &amp; 1.D</vt:lpstr>
      <vt:lpstr>IX. Boxes 2 &amp; 3; Table 2</vt:lpstr>
      <vt:lpstr>IX. Box 4</vt:lpstr>
      <vt:lpstr>IX. Boxes 5 &amp; 6</vt:lpstr>
      <vt:lpstr>IX. Boxes 7 to 9</vt:lpstr>
      <vt:lpstr>IX. Boxes 10 &amp; 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missm</dc:creator>
  <cp:lastModifiedBy>WPS_1675506831</cp:lastModifiedBy>
  <dcterms:created xsi:type="dcterms:W3CDTF">2026-07-04T16:00:17Z</dcterms:created>
  <dcterms:modified xsi:type="dcterms:W3CDTF">2026-07-04T16:08:23Z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341F7E1551AE43C28F9A3D8FDCA3CA4F_11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